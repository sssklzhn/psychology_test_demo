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F\Maksat\PsychoTest\"/>
    </mc:Choice>
  </mc:AlternateContent>
  <xr:revisionPtr revIDLastSave="0" documentId="13_ncr:1_{703D3DF5-4D94-4EFA-838E-FC1721FA1AFB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Ответы" sheetId="3" r:id="rId1"/>
    <sheet name="Шкала" sheetId="1" r:id="rId2"/>
    <sheet name="Резюме" sheetId="4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  <c r="G71" i="1"/>
  <c r="G68" i="1"/>
  <c r="G67" i="1"/>
  <c r="E14" i="4"/>
  <c r="D29" i="1" l="1"/>
  <c r="D82" i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4" i="3"/>
  <c r="D5" i="1"/>
  <c r="D34" i="1"/>
  <c r="I70" i="1"/>
  <c r="I66" i="1"/>
  <c r="D69" i="1"/>
  <c r="D65" i="1"/>
  <c r="D58" i="1"/>
  <c r="D49" i="1"/>
  <c r="D42" i="1"/>
  <c r="D37" i="1"/>
  <c r="D30" i="1"/>
  <c r="D26" i="1"/>
  <c r="D22" i="1"/>
  <c r="D21" i="1"/>
  <c r="D14" i="1"/>
  <c r="D9" i="1"/>
  <c r="D4" i="1"/>
  <c r="D165" i="1" l="1"/>
  <c r="E27" i="4" s="1"/>
  <c r="I46" i="1"/>
  <c r="I113" i="1"/>
  <c r="I74" i="1"/>
  <c r="I45" i="1"/>
  <c r="I38" i="1"/>
  <c r="I162" i="1"/>
  <c r="I159" i="1"/>
  <c r="I158" i="1"/>
  <c r="I157" i="1"/>
  <c r="I155" i="1"/>
  <c r="I154" i="1"/>
  <c r="I151" i="1"/>
  <c r="I149" i="1"/>
  <c r="I148" i="1"/>
  <c r="I143" i="1"/>
  <c r="I142" i="1"/>
  <c r="I141" i="1"/>
  <c r="I140" i="1"/>
  <c r="I139" i="1"/>
  <c r="I138" i="1"/>
  <c r="I136" i="1"/>
  <c r="I134" i="1"/>
  <c r="I132" i="1"/>
  <c r="I131" i="1"/>
  <c r="I130" i="1"/>
  <c r="I128" i="1"/>
  <c r="I126" i="1"/>
  <c r="I125" i="1"/>
  <c r="I122" i="1"/>
  <c r="I121" i="1"/>
  <c r="I118" i="1"/>
  <c r="I117" i="1"/>
  <c r="I114" i="1"/>
  <c r="I110" i="1"/>
  <c r="I109" i="1"/>
  <c r="I106" i="1"/>
  <c r="I105" i="1"/>
  <c r="I101" i="1"/>
  <c r="I98" i="1"/>
  <c r="I97" i="1"/>
  <c r="I94" i="1"/>
  <c r="I90" i="1"/>
  <c r="I89" i="1"/>
  <c r="I86" i="1"/>
  <c r="I85" i="1"/>
  <c r="I78" i="1"/>
  <c r="I77" i="1"/>
  <c r="I63" i="1"/>
  <c r="I61" i="1"/>
  <c r="I54" i="1"/>
  <c r="I53" i="1"/>
  <c r="I50" i="1"/>
  <c r="I41" i="1"/>
  <c r="I40" i="1"/>
  <c r="I39" i="1"/>
  <c r="I36" i="1"/>
  <c r="I35" i="1"/>
  <c r="I33" i="1"/>
  <c r="I28" i="1"/>
  <c r="I25" i="1"/>
  <c r="I23" i="1"/>
  <c r="I18" i="1"/>
  <c r="I13" i="1"/>
  <c r="I11" i="1"/>
  <c r="I7" i="1"/>
  <c r="E165" i="3"/>
  <c r="H160" i="1"/>
  <c r="H156" i="1"/>
  <c r="H157" i="1"/>
  <c r="H153" i="1"/>
  <c r="H152" i="1"/>
  <c r="H149" i="1"/>
  <c r="H148" i="1"/>
  <c r="H145" i="1"/>
  <c r="H144" i="1"/>
  <c r="H141" i="1"/>
  <c r="H140" i="1"/>
  <c r="H139" i="1"/>
  <c r="H136" i="1"/>
  <c r="H135" i="1"/>
  <c r="H132" i="1"/>
  <c r="H131" i="1"/>
  <c r="H128" i="1"/>
  <c r="H127" i="1"/>
  <c r="H124" i="1"/>
  <c r="H123" i="1"/>
  <c r="H120" i="1"/>
  <c r="H119" i="1"/>
  <c r="H116" i="1"/>
  <c r="H115" i="1"/>
  <c r="H112" i="1"/>
  <c r="H111" i="1"/>
  <c r="H108" i="1"/>
  <c r="H107" i="1"/>
  <c r="H104" i="1"/>
  <c r="H103" i="1"/>
  <c r="G100" i="1"/>
  <c r="G99" i="1"/>
  <c r="G96" i="1"/>
  <c r="G95" i="1"/>
  <c r="G92" i="1"/>
  <c r="G91" i="1"/>
  <c r="G88" i="1"/>
  <c r="G87" i="1"/>
  <c r="G84" i="1"/>
  <c r="G83" i="1"/>
  <c r="G80" i="1"/>
  <c r="G79" i="1"/>
  <c r="G76" i="1"/>
  <c r="G75" i="1"/>
  <c r="G63" i="1"/>
  <c r="G60" i="1"/>
  <c r="G59" i="1"/>
  <c r="G56" i="1"/>
  <c r="G55" i="1"/>
  <c r="G52" i="1"/>
  <c r="G51" i="1"/>
  <c r="G48" i="1"/>
  <c r="G47" i="1"/>
  <c r="G44" i="1"/>
  <c r="G43" i="1"/>
  <c r="G7" i="1"/>
  <c r="F40" i="1"/>
  <c r="F39" i="1"/>
  <c r="F36" i="1"/>
  <c r="F35" i="1"/>
  <c r="F32" i="1"/>
  <c r="F31" i="1"/>
  <c r="F27" i="1"/>
  <c r="F24" i="1"/>
  <c r="F23" i="1"/>
  <c r="F20" i="1"/>
  <c r="F19" i="1"/>
  <c r="F17" i="1"/>
  <c r="F16" i="1"/>
  <c r="F15" i="1"/>
  <c r="F13" i="1"/>
  <c r="F12" i="1"/>
  <c r="F10" i="1"/>
  <c r="F8" i="1"/>
  <c r="F6" i="1"/>
  <c r="E162" i="1"/>
  <c r="E159" i="1"/>
  <c r="E142" i="1"/>
  <c r="E134" i="1"/>
  <c r="E97" i="1"/>
  <c r="E90" i="1"/>
  <c r="E86" i="1"/>
  <c r="E85" i="1"/>
  <c r="E78" i="1"/>
  <c r="E53" i="1"/>
  <c r="E39" i="1"/>
  <c r="E33" i="1"/>
  <c r="E23" i="1"/>
  <c r="E7" i="1"/>
  <c r="D165" i="3"/>
  <c r="H165" i="1" l="1"/>
  <c r="F165" i="3"/>
  <c r="I165" i="1"/>
  <c r="G165" i="1"/>
  <c r="E31" i="4" s="1"/>
  <c r="F165" i="1"/>
  <c r="E32" i="4" s="1"/>
  <c r="E165" i="1"/>
  <c r="E28" i="4" l="1"/>
  <c r="E29" i="4"/>
  <c r="E30" i="4"/>
</calcChain>
</file>

<file path=xl/sharedStrings.xml><?xml version="1.0" encoding="utf-8"?>
<sst xmlns="http://schemas.openxmlformats.org/spreadsheetml/2006/main" count="440" uniqueCount="245">
  <si>
    <t>1. Иногда мне в голову приходят такие нехорошие мысли, что лучше никому о них не рассказывать.</t>
  </si>
  <si>
    <t>3. Часто какая-нибудь навязчивая мысль не дает мне заснуть.</t>
  </si>
  <si>
    <t>4. Временами у меня бывают приступы смеха или плача, с которыми я никак не могу справиться.</t>
  </si>
  <si>
    <t>5. Я сильно теряюсь, оказавшись неожиданно в центр внимания.</t>
  </si>
  <si>
    <t>6. Бывали случаи, что я не сдерживал своих обещаний.</t>
  </si>
  <si>
    <t>7. Критика, в том виде, в котором ее осуществляют многие люди, скорее выбивают меня из колеи, чем помогают.</t>
  </si>
  <si>
    <t>8. У меня часто болит голова.</t>
  </si>
  <si>
    <t>9. Если мое удачное замечание осталось незамеченным, я его не повторяю.</t>
  </si>
  <si>
    <t>10. Часто я склонен мысленно возвращаться к своим неприятностям, и мне трудно выбросить их из головы.</t>
  </si>
  <si>
    <t>11. Иногда я говорю неправду.</t>
  </si>
  <si>
    <t>12. В компании я чувствую себя неловко и из-за этого произвожу впечатление хуже, чем мог бы.</t>
  </si>
  <si>
    <t>13. Мне бывает трудно заснуть из-за беспокойства по поводу неудачи.</t>
  </si>
  <si>
    <t>14. Вставая утром, я часто чувствую себя усталым и разбитым.</t>
  </si>
  <si>
    <t xml:space="preserve">15. Раз в неделю или чаще я безо всякой видимой причины внезапно ощущаю жар во всем теле. </t>
  </si>
  <si>
    <t>16. Мне бывает трудно изложить свои мысли словами, поэтому я редко включаюсь в беседу.</t>
  </si>
  <si>
    <t>17. Бывает, что меня беспокоит чувство вины или угрызения совести и-за какого-нибудь пустяка.</t>
  </si>
  <si>
    <t>18. Бывало, что я говорил о вещах, в которых не разбираюсь.</t>
  </si>
  <si>
    <t>19. Бывает, что я передаю слухи.</t>
  </si>
  <si>
    <t>20. У меня бывают очень странные и необычные внутренние переживания.</t>
  </si>
  <si>
    <t>21. Уходя из дома, я часто беспокоюсь о том, что нужно сделать сегодня.</t>
  </si>
  <si>
    <t>22. Бывает, что у меня без особой причины кружится голова.</t>
  </si>
  <si>
    <t>23. Бывает, что я откладываю на завтра то, что нужно сделать сегодня.</t>
  </si>
  <si>
    <t>24. Я смущаюсь вступить в спор даже по хорошо известному мне вопросу.</t>
  </si>
  <si>
    <t>25. Я чрезмерно чувствителен и легко раним.</t>
  </si>
  <si>
    <t>27. Иногда, когда я неважно себя чувствую, я бываю раздражительными.</t>
  </si>
  <si>
    <t>28. Мне, безусловно, не хватает уверенности в себе.</t>
  </si>
  <si>
    <t>29. Я часто упускаю возможность из-за своей внутренней нерешительности.</t>
  </si>
  <si>
    <t>30. Я довольно безразличен к тому, что со мной будет.</t>
  </si>
  <si>
    <t>32. Я остро и длительно переживаю неудачи.</t>
  </si>
  <si>
    <t>33. Я склонен принимать все слишком близко к сердцу.</t>
  </si>
  <si>
    <t>34. Иногда я хвалю себя.</t>
  </si>
  <si>
    <t>35. Я считаю, что моя семейная жизнь такая же хорошая, как и у большинства моих знакомых.</t>
  </si>
  <si>
    <t>36. Я часто чувствую себя одиноким и никому ненужным.</t>
  </si>
  <si>
    <t>37. Временами я уверен в своей бесполезности.</t>
  </si>
  <si>
    <t>38. Мне часто говорят, что я вспыльчив.</t>
  </si>
  <si>
    <t>39. В игре я предпочитаю выигрывать.</t>
  </si>
  <si>
    <t>40. Мое настроение зависит от общества, в котором я нахожусь.</t>
  </si>
  <si>
    <t>41. Сон у меня обычно богат яркими сновидениями.</t>
  </si>
  <si>
    <t>42. Последние несколько лет большую часть времени я чувствую себя хорошо.</t>
  </si>
  <si>
    <t>43. Сейчас мой вес постоянен (я не худею и не полнею).</t>
  </si>
  <si>
    <t>44. Люблю костюмы яркие и броские.</t>
  </si>
  <si>
    <t>45. В необычной и привлекающей внимание одежде я чувствую себя прекрасно.</t>
  </si>
  <si>
    <t>46. Мне приятно иметь среди своих знакомых значительных людей. Это как бы придает мне вес в собственных глазах.</t>
  </si>
  <si>
    <t>47. Я был бы довольно спокоен, если бы у кого-нибудь из моей семьи были неприятности из-за нарушения закона.</t>
  </si>
  <si>
    <t>48. Больше всего со стороны окружающих я ценю внимание ко мне.</t>
  </si>
  <si>
    <t>49. Я люблю одежду модную и необычную, которая невольно привлекает взоры.</t>
  </si>
  <si>
    <t>50. С моим рассудком творится что-то неладное.</t>
  </si>
  <si>
    <t>51. Когда я пытаюсь что-то сказать, то часто замечаю, что у меня дрожат руки.</t>
  </si>
  <si>
    <t>52. Приключения и риск меня привлекают, когда в них достается первая роль.</t>
  </si>
  <si>
    <t>53. Я всегда стремлюсь быть среди людей, чтобы «показать» себя.</t>
  </si>
  <si>
    <t>54. Руки у меня такие же ловкие и проворные как и прежде.</t>
  </si>
  <si>
    <t>56. Я люблю опекать кого-нибудь, кто мне нравится.</t>
  </si>
  <si>
    <t>57. Я люблю быть первым, чтобы мне подражали, за мной бы следовали другие.</t>
  </si>
  <si>
    <t>58. Думаю, что я человек обреченный.</t>
  </si>
  <si>
    <t>59. С членами моей семьи ссорюсь очень редко.</t>
  </si>
  <si>
    <t>60. Иногда я ощущаю комок в горле или другие необычные ощущения.</t>
  </si>
  <si>
    <t>61. Я люблю, когда окружающие уделяют мне много внимания.</t>
  </si>
  <si>
    <t>62. Бывает, что я с кем-нибудь посплетничаю.</t>
  </si>
  <si>
    <t>63. Часто я вижу сны, о которых лучше никому не рассказывать.</t>
  </si>
  <si>
    <t>64. Ужасно не люблю всякие правила и ограничения, которые меня стесняют.</t>
  </si>
  <si>
    <t>65. Я очень люблю читать о преступлениях и таинственных приключениях.</t>
  </si>
  <si>
    <t xml:space="preserve">66. Бывало, что при обсуждении некоторых вопросов,  я, особенно не задумываясь, соглашался с мнением других. </t>
  </si>
  <si>
    <t>67. В школе я усваивал материал медленнее, чем другие.</t>
  </si>
  <si>
    <t>68. Мне нравится участвовать в конкурсах художественной самодеятельности .</t>
  </si>
  <si>
    <t>69. Считаю, что очень важно, чтобы результат моей работы стал известен окружающим.</t>
  </si>
  <si>
    <t>71. Я вполне уверен в себе.</t>
  </si>
  <si>
    <t>72. Я способен совершить нечто выдающееся.</t>
  </si>
  <si>
    <t>73. Мне нравится выступать перед кем-нибудь.</t>
  </si>
  <si>
    <t>74. Раз в неделю или чаще я бываю очень возбужденным или взволнованным.</t>
  </si>
  <si>
    <t>75. Кто-то управляет моими мыслями.</t>
  </si>
  <si>
    <t>76. Я бы согласился выступать в роли конферансье на концерте у какой-нибудь знаменитости.</t>
  </si>
  <si>
    <t>77. Меня всегда раздражают люди, которые стремятся быть первыми в компании.</t>
  </si>
  <si>
    <t>78. На моё настроение существенно влияет погода.</t>
  </si>
  <si>
    <t>79. Бывает, что неприличная или даже непристойная шутка вызывает у меня смех.</t>
  </si>
  <si>
    <t>80. У меня портится настроение, я чувствую себя плохо, если окружающие не проявляют ко мне должного внимания.</t>
  </si>
  <si>
    <t>81. Мне нравится цитировать необычные (мудрые) высказывания знаменитых людей.</t>
  </si>
  <si>
    <t>82. Счастливей всего я бываю, когда один.</t>
  </si>
  <si>
    <t>83. Кто-то пытается воздействовать на мои мысли.</t>
  </si>
  <si>
    <t>84. В компаниях я почти всегда являюсь центром внимания.</t>
  </si>
  <si>
    <t>85. Я отношусь к таким людям, которые умеют восторгаться и преклоняться перед кем или чем-либо.</t>
  </si>
  <si>
    <t>86. Я часто копаюсь в своих недостатках.</t>
  </si>
  <si>
    <t>87. Даже среди людей я обычно чувствую себя одиноко.</t>
  </si>
  <si>
    <t>88. В компании я люблю рассказывать разные истории для того, чтобы завладеть общим вниманием.</t>
  </si>
  <si>
    <t>89. Мне нравится заводить знакомства с влиятельными и авторитетными людьми.</t>
  </si>
  <si>
    <t>90. Меня легко привести в замешательство.</t>
  </si>
  <si>
    <t>91. Я легко теряю терпение с людьми.</t>
  </si>
  <si>
    <t>92. Для меня свойственна некоторая капризность.</t>
  </si>
  <si>
    <t>93. Мне нравится, когда меня признают главой или зачинщиком.</t>
  </si>
  <si>
    <t>94. Часто мне хочется умереть.</t>
  </si>
  <si>
    <t>95. Почти каждый день случается что-нибудь, что пугает меня.</t>
  </si>
  <si>
    <t>96. Мне доставляет удовольствие совершать рискованные поступки, иногда ради забавы.</t>
  </si>
  <si>
    <t>97. У меня есть такие качества, по которым я определенно превосхожу других людей.</t>
  </si>
  <si>
    <t xml:space="preserve">98. Я очень последователен в своих  религиозных убеждениях. </t>
  </si>
  <si>
    <t>99. Приступы плохого настроения у меня бывают редко.</t>
  </si>
  <si>
    <t>100. Я часто поступаю по настроению, а не по убеждению.</t>
  </si>
  <si>
    <t>101. Часто в споре я перехожу на личности.</t>
  </si>
  <si>
    <t>102. Я заслуживаю сурового наказания за свои поступки.</t>
  </si>
  <si>
    <t>103. У меня были очень необычные мистические переживания.</t>
  </si>
  <si>
    <t>104. Я не пойду на риск, если есть только малая надежда на успех.</t>
  </si>
  <si>
    <t>105. Если со мной поступают несправедливо, то я чувствую, что должен оплатить, хотя бы из принципа.</t>
  </si>
  <si>
    <t>106. У меня были периоды, когда из-за волнения я терял сон.</t>
  </si>
  <si>
    <t>107. Я человек нервный и легковозбудимый.</t>
  </si>
  <si>
    <t>108. Временами меня так и подмывает вступить с кем-нибудь в спор.</t>
  </si>
  <si>
    <t>109. Временами я так настаиваю на своем, что окружающие теряют со мной терпение.</t>
  </si>
  <si>
    <t>110. Мне кажется, что обоняние у меня такое же как и у других (не хуже).</t>
  </si>
  <si>
    <t>111. Все у меня получается плохо, не так, как надо.</t>
  </si>
  <si>
    <t>112. Я не могу до конца выслушать человека, если он, по моему мнению, говорит глупые вещи.</t>
  </si>
  <si>
    <t>113. Иногда мне хочется сделать что-либо опасное или ошеломляющее.</t>
  </si>
  <si>
    <t>114. Я почти всегда ощущаю сухость во рту.</t>
  </si>
  <si>
    <t>115. Большую часть времени я ощущаю себя усталым.</t>
  </si>
  <si>
    <t>116. Иногда я могу не сдержаться и нагрубить, даже если это повредит моим интересам.</t>
  </si>
  <si>
    <t xml:space="preserve">117. Довольно часто я действую под влиянием минутного настроения. </t>
  </si>
  <si>
    <t>118. Иногда я чувствую, что близок к нервному срыву.</t>
  </si>
  <si>
    <t>119. Меня очень раздражает то, что я забываю, куда кладу вещи.</t>
  </si>
  <si>
    <t>120. Когда на меня кричат, я отвечаю тем же.</t>
  </si>
  <si>
    <t>121. Обычно я готов на все, чтобы победить в споре.</t>
  </si>
  <si>
    <t>122. Я с трудом переношу время ожидания.</t>
  </si>
  <si>
    <t>123. Мне очень трудно приспособиться к новым условиям жизни, работы. Переход к новым условиям жизни, работы кажется невыносимо трудным.</t>
  </si>
  <si>
    <t>124. Часто я не уступаю другим не потому, что дело действительно важное, а просто из-за принципа.</t>
  </si>
  <si>
    <t>125. У меня часто плохое настроение.</t>
  </si>
  <si>
    <t>126. Мне кажется, что по отношению именно ко мне особенно часто поступают несправедливо.</t>
  </si>
  <si>
    <t>127. Я часто чувствую себя несправедливо обиженным.</t>
  </si>
  <si>
    <t>128. Я, наверное, человек раздражительный и вспыльчивый.</t>
  </si>
  <si>
    <t>129. Часто я «завожусь с пол-оборота», быстро злюсь.</t>
  </si>
  <si>
    <t>130. Мое мнение часто не совпадает с мнением окружающих.</t>
  </si>
  <si>
    <t>131. Я часто испытываю чувство усталости от жизни и мне не хочется жить.</t>
  </si>
  <si>
    <t>132. Я против того, чтобы надо мной подшучивали.</t>
  </si>
  <si>
    <t>133. Меня сильно раздражают люди, которые лезут без очереди, и я им это высказываю или стараюсь не пускать.</t>
  </si>
  <si>
    <t>134. На меня обращают внимание чаще, чем на других.</t>
  </si>
  <si>
    <t>135. У меня бывают головные боли и головокружения из-за переживаний.</t>
  </si>
  <si>
    <t>136. Иногда я чувствую такую ярость, что хочется что-либо сломать.</t>
  </si>
  <si>
    <t>137. Я довольно часто совершаю поступки, о которых потом приходится сожалеть (чаще, чем другие).</t>
  </si>
  <si>
    <t>138. Я сильно раздражаюсь, если меня торопят или подгоняют.</t>
  </si>
  <si>
    <t>139. Часто у меня бывают периоды, когда мне никого не хочется видеть.</t>
  </si>
  <si>
    <t>140. Мне трудно проснуться в назначенный час.</t>
  </si>
  <si>
    <t>141. Иногда пустяк, сказанный в мой адрес, способен вызвать бурную реакцию.</t>
  </si>
  <si>
    <t>142. Если я считаю, что поступаю правильно, то мнение других людей меня мало интересует.</t>
  </si>
  <si>
    <t>143. Если в моих неудачах кто-то виноват, я не оставляю его безнаказанными.</t>
  </si>
  <si>
    <t>144. В детстве я был капризный и раздражительный.</t>
  </si>
  <si>
    <t>145. Терпеть не могу, если меня перебивают в то время, когда я занят.</t>
  </si>
  <si>
    <t>146. Мне очень трудно, почти невозможно смолчать за оскорбление.</t>
  </si>
  <si>
    <t>147. Мне известны случаи, когда мои родственники лечились у невропатологов и психиатров.</t>
  </si>
  <si>
    <t>148. Иногда я принимаю валериану и другие успокаивающие средства.</t>
  </si>
  <si>
    <t>149. Мне часто что-то быстро надоедает и я меняю (работу, место жительства).</t>
  </si>
  <si>
    <t>150. Я обычно не считаю нужным скрывать свое презрение или отрицательное  мнение о ком-то или о чем-то.</t>
  </si>
  <si>
    <t>151. Я живу своими внутренними мыслями и меня мало интересует окружающее.</t>
  </si>
  <si>
    <t>152. Мои идеи мысли выглядят, как опережающие  время.</t>
  </si>
  <si>
    <t>153. Меня трудно рассердить.</t>
  </si>
  <si>
    <t>154. Я не очень лажу с людьми: мне не просто находить с ними общий язык.</t>
  </si>
  <si>
    <t>155. Я – труднодоступный для контакта человек.</t>
  </si>
  <si>
    <t>156. Меня уговорили поступать на эту работу, а самого особого желания нет.</t>
  </si>
  <si>
    <t>157. Люди меня считают спокойным и уравновешенным человеком.</t>
  </si>
  <si>
    <t>158. Среди моих знакомых (родственников) есть люди употребляющие наркотики.</t>
  </si>
  <si>
    <t>159. Временами я сожалею, что живу на этом свете.</t>
  </si>
  <si>
    <t>160. Я имею представление как выглядят некоторые наркотики.</t>
  </si>
  <si>
    <t>Con</t>
  </si>
  <si>
    <t>Isk</t>
  </si>
  <si>
    <t>Ast</t>
  </si>
  <si>
    <t>Ist</t>
  </si>
  <si>
    <t>Psi</t>
  </si>
  <si>
    <t>Нет</t>
  </si>
  <si>
    <t>Да</t>
  </si>
  <si>
    <t>NPN</t>
  </si>
  <si>
    <t>На нет</t>
  </si>
  <si>
    <t>Л</t>
  </si>
  <si>
    <t>НПН</t>
  </si>
  <si>
    <t>Пп</t>
  </si>
  <si>
    <t>Возраст</t>
  </si>
  <si>
    <t>Пол</t>
  </si>
  <si>
    <t>31. Я всегда выполняю то, что мне говорят старшие.</t>
  </si>
  <si>
    <t>70. Моя внешность меня, в общем, устраивает.</t>
  </si>
  <si>
    <t>2. Я охотно принимаю участие во всех собраниях и других общественных мероприятиях.</t>
  </si>
  <si>
    <t>26. Бывало, что я невежливо разговаривал с родителями</t>
  </si>
  <si>
    <r>
      <t xml:space="preserve">1. Иногда мне в голову приходят такие </t>
    </r>
    <r>
      <rPr>
        <sz val="10"/>
        <color theme="1"/>
        <rFont val="Times New Roman"/>
        <family val="1"/>
        <charset val="204"/>
      </rPr>
      <t>мысли, что лучше никому о них не рассказывать.</t>
    </r>
  </si>
  <si>
    <r>
      <t xml:space="preserve">105. Если со мной поступают несправедливо, то я чувствую, что должен </t>
    </r>
    <r>
      <rPr>
        <sz val="10"/>
        <rFont val="Times New Roman"/>
        <family val="1"/>
        <charset val="204"/>
      </rPr>
      <t>отплатить,</t>
    </r>
    <r>
      <rPr>
        <sz val="10"/>
        <color theme="1"/>
        <rFont val="Times New Roman"/>
        <family val="1"/>
        <charset val="204"/>
      </rPr>
      <t xml:space="preserve"> хотя бы из принципа.</t>
    </r>
  </si>
  <si>
    <r>
      <t xml:space="preserve">152. Мои идеи </t>
    </r>
    <r>
      <rPr>
        <b/>
        <sz val="10"/>
        <color rgb="FFFF0000"/>
        <rFont val="Times New Roman"/>
        <family val="1"/>
        <charset val="204"/>
      </rPr>
      <t xml:space="preserve">и </t>
    </r>
    <r>
      <rPr>
        <sz val="10"/>
        <color theme="1"/>
        <rFont val="Times New Roman"/>
        <family val="1"/>
        <charset val="204"/>
      </rPr>
      <t>мысли выглядят, как опережающие  время.</t>
    </r>
  </si>
  <si>
    <t>55. Среди моих знакомых есть люди, которые мне не нравятся.</t>
  </si>
  <si>
    <t>Утверждения, относящиеся ко мне (моему характеру)</t>
  </si>
  <si>
    <t>№</t>
  </si>
  <si>
    <t>нужно цифру "1" поставить в клетку "Да" или "Нет" на каждое утверждение</t>
  </si>
  <si>
    <r>
      <t xml:space="preserve">76. Я бы согласился выступать в роли </t>
    </r>
    <r>
      <rPr>
        <sz val="10"/>
        <rFont val="Times New Roman"/>
        <family val="1"/>
        <charset val="204"/>
      </rPr>
      <t>конферансье (ведущего)</t>
    </r>
    <r>
      <rPr>
        <sz val="10"/>
        <color theme="1"/>
        <rFont val="Times New Roman"/>
        <family val="1"/>
        <charset val="204"/>
      </rPr>
      <t xml:space="preserve"> на концерте у какой-нибудь знаменитости.</t>
    </r>
  </si>
  <si>
    <r>
      <t xml:space="preserve">58. Думаю, что я человек </t>
    </r>
    <r>
      <rPr>
        <sz val="10"/>
        <rFont val="Times New Roman"/>
        <family val="1"/>
        <charset val="204"/>
      </rPr>
      <t>обреченный.</t>
    </r>
  </si>
  <si>
    <r>
      <t xml:space="preserve">59. С членами моей семьи ссорюсь </t>
    </r>
    <r>
      <rPr>
        <sz val="10"/>
        <rFont val="Times New Roman"/>
        <family val="1"/>
        <charset val="204"/>
      </rPr>
      <t xml:space="preserve"> редко (или не ссорюсь совсем).</t>
    </r>
  </si>
  <si>
    <t>код</t>
  </si>
  <si>
    <t>1234567890</t>
  </si>
  <si>
    <t>всего</t>
  </si>
  <si>
    <t>дата</t>
  </si>
  <si>
    <t>возраст</t>
  </si>
  <si>
    <t>резюме</t>
  </si>
  <si>
    <t>не достоверен</t>
  </si>
  <si>
    <t>Кон</t>
  </si>
  <si>
    <t>6-8</t>
  </si>
  <si>
    <t>условно рекомендован</t>
  </si>
  <si>
    <t>&gt; 9</t>
  </si>
  <si>
    <t>0-9</t>
  </si>
  <si>
    <t>норма</t>
  </si>
  <si>
    <t>нереомендован</t>
  </si>
  <si>
    <t>2</t>
  </si>
  <si>
    <t>3</t>
  </si>
  <si>
    <t>&gt; 30</t>
  </si>
  <si>
    <t>23-30</t>
  </si>
  <si>
    <t>&gt; 13</t>
  </si>
  <si>
    <t>4</t>
  </si>
  <si>
    <t>27-30</t>
  </si>
  <si>
    <t>15-19</t>
  </si>
  <si>
    <t>5</t>
  </si>
  <si>
    <t>6</t>
  </si>
  <si>
    <t>a</t>
  </si>
  <si>
    <t>b</t>
  </si>
  <si>
    <t>ретест</t>
  </si>
  <si>
    <t>c</t>
  </si>
  <si>
    <t>d</t>
  </si>
  <si>
    <t>e</t>
  </si>
  <si>
    <t>f</t>
  </si>
  <si>
    <t>достоверность N% или недостоверен</t>
  </si>
  <si>
    <t>Дата</t>
  </si>
  <si>
    <t>Код</t>
  </si>
  <si>
    <t>Достоверность</t>
  </si>
  <si>
    <t>Аутоагрессия</t>
  </si>
  <si>
    <r>
      <t xml:space="preserve">низкая </t>
    </r>
    <r>
      <rPr>
        <b/>
        <sz val="11"/>
        <color theme="8" tint="0.59999389629810485"/>
        <rFont val="Calibri"/>
        <family val="2"/>
        <charset val="204"/>
        <scheme val="minor"/>
      </rPr>
      <t>(норма)</t>
    </r>
    <r>
      <rPr>
        <b/>
        <sz val="11"/>
        <color theme="1"/>
        <rFont val="Calibri"/>
        <family val="2"/>
        <charset val="204"/>
        <scheme val="minor"/>
      </rPr>
      <t>, средняя, высокая</t>
    </r>
  </si>
  <si>
    <t>Нервно-психическая устойчивость</t>
  </si>
  <si>
    <r>
      <t xml:space="preserve">высокая </t>
    </r>
    <r>
      <rPr>
        <b/>
        <sz val="11"/>
        <color theme="8" tint="0.59999389629810485"/>
        <rFont val="Calibri"/>
        <family val="2"/>
        <charset val="204"/>
        <scheme val="minor"/>
      </rPr>
      <t>(норма)</t>
    </r>
    <r>
      <rPr>
        <b/>
        <sz val="11"/>
        <color theme="1"/>
        <rFont val="Calibri"/>
        <family val="2"/>
        <charset val="204"/>
        <scheme val="minor"/>
      </rPr>
      <t>, средняя, низкая</t>
    </r>
  </si>
  <si>
    <t>Психопатическая реакция</t>
  </si>
  <si>
    <r>
      <t xml:space="preserve">низкая вероятность </t>
    </r>
    <r>
      <rPr>
        <b/>
        <sz val="11"/>
        <color theme="8" tint="0.59999389629810485"/>
        <rFont val="Calibri"/>
        <family val="2"/>
        <charset val="204"/>
        <scheme val="minor"/>
      </rPr>
      <t>(норма)</t>
    </r>
    <r>
      <rPr>
        <b/>
        <sz val="11"/>
        <color theme="1"/>
        <rFont val="Calibri"/>
        <family val="2"/>
        <charset val="204"/>
        <scheme val="minor"/>
      </rPr>
      <t>,  возможно неадекватная реакция на стимул</t>
    </r>
  </si>
  <si>
    <t>Истериойдные проявления</t>
  </si>
  <si>
    <t>Для каждого</t>
  </si>
  <si>
    <r>
      <t xml:space="preserve">низкая вероятность </t>
    </r>
    <r>
      <rPr>
        <b/>
        <sz val="11"/>
        <color theme="8" tint="0.59999389629810485"/>
        <rFont val="Calibri"/>
        <family val="2"/>
        <charset val="204"/>
        <scheme val="minor"/>
      </rPr>
      <t>(норма)</t>
    </r>
    <r>
      <rPr>
        <b/>
        <sz val="11"/>
        <color theme="1"/>
        <rFont val="Calibri"/>
        <family val="2"/>
        <charset val="204"/>
        <scheme val="minor"/>
      </rPr>
      <t xml:space="preserve">,  возможный </t>
    </r>
  </si>
  <si>
    <t>Ранимость, чувствительность</t>
  </si>
  <si>
    <r>
      <rPr>
        <b/>
        <sz val="11"/>
        <rFont val="Calibri"/>
        <family val="2"/>
        <charset val="204"/>
        <scheme val="minor"/>
      </rPr>
      <t xml:space="preserve">норма, </t>
    </r>
    <r>
      <rPr>
        <b/>
        <sz val="11"/>
        <color theme="1"/>
        <rFont val="Calibri"/>
        <family val="2"/>
        <charset val="204"/>
        <scheme val="minor"/>
      </rPr>
      <t xml:space="preserve"> повышенная</t>
    </r>
  </si>
  <si>
    <t>Резюме</t>
  </si>
  <si>
    <t>или</t>
  </si>
  <si>
    <t>-</t>
  </si>
  <si>
    <t>(внимание: при суммировании ответ на первый вопрос не учитывается)</t>
  </si>
  <si>
    <r>
      <t>Условные обозначения</t>
    </r>
    <r>
      <rPr>
        <sz val="11"/>
        <rFont val="Calibri"/>
        <family val="2"/>
        <charset val="204"/>
        <scheme val="minor"/>
      </rPr>
      <t xml:space="preserve"> (названия шкал тестов):</t>
    </r>
  </si>
  <si>
    <r>
      <t xml:space="preserve">Л </t>
    </r>
    <r>
      <rPr>
        <sz val="11"/>
        <rFont val="Calibri"/>
        <family val="2"/>
        <charset val="204"/>
        <scheme val="minor"/>
      </rPr>
      <t>– шкала лжи («социальной желательности») норма: от 0 до 9; если выше – недостаточная достоверность  (рекомендуется  ретест через 2 недели);</t>
    </r>
  </si>
  <si>
    <r>
      <t>НПН</t>
    </r>
    <r>
      <rPr>
        <sz val="11"/>
        <rFont val="Calibri"/>
        <family val="2"/>
        <charset val="204"/>
        <scheme val="minor"/>
      </rPr>
      <t xml:space="preserve"> – нервно-писхической неустойчивости; норма : от 0 до 23 балла – для реком.;  </t>
    </r>
    <r>
      <rPr>
        <b/>
        <sz val="11"/>
        <rFont val="Calibri"/>
        <family val="2"/>
        <charset val="204"/>
        <scheme val="minor"/>
      </rPr>
      <t>общее число вопросов – 67</t>
    </r>
    <r>
      <rPr>
        <sz val="11"/>
        <rFont val="Calibri"/>
        <family val="2"/>
        <charset val="204"/>
        <scheme val="minor"/>
      </rPr>
      <t xml:space="preserve">. </t>
    </r>
  </si>
  <si>
    <r>
      <t>Пп</t>
    </r>
    <r>
      <rPr>
        <sz val="11"/>
        <rFont val="Calibri"/>
        <family val="2"/>
        <charset val="204"/>
        <scheme val="minor"/>
      </rPr>
      <t xml:space="preserve"> – психопатии ш. (вероятность неадекватой реакции на стимул); норма от 0 до 13 (из </t>
    </r>
    <r>
      <rPr>
        <b/>
        <sz val="11"/>
        <rFont val="Calibri"/>
        <family val="2"/>
        <charset val="204"/>
        <scheme val="minor"/>
      </rPr>
      <t>30</t>
    </r>
    <r>
      <rPr>
        <sz val="11"/>
        <rFont val="Calibri"/>
        <family val="2"/>
        <charset val="204"/>
        <scheme val="minor"/>
      </rPr>
      <t xml:space="preserve">); </t>
    </r>
  </si>
  <si>
    <r>
      <t>Ист</t>
    </r>
    <r>
      <rPr>
        <sz val="11"/>
        <rFont val="Calibri"/>
        <family val="2"/>
        <charset val="204"/>
        <scheme val="minor"/>
      </rPr>
      <t xml:space="preserve"> – истероидность ; норма от 0 до 27 (из </t>
    </r>
    <r>
      <rPr>
        <b/>
        <sz val="11"/>
        <rFont val="Calibri"/>
        <family val="2"/>
        <charset val="204"/>
        <scheme val="minor"/>
      </rPr>
      <t>30</t>
    </r>
    <r>
      <rPr>
        <sz val="11"/>
        <rFont val="Calibri"/>
        <family val="2"/>
        <charset val="204"/>
        <scheme val="minor"/>
      </rPr>
      <t>)</t>
    </r>
  </si>
  <si>
    <r>
      <t>Па</t>
    </r>
    <r>
      <rPr>
        <sz val="11"/>
        <rFont val="Calibri"/>
        <family val="2"/>
        <charset val="204"/>
        <scheme val="minor"/>
      </rPr>
      <t xml:space="preserve"> – психастении шкала; норма: от 0 до 15 (из </t>
    </r>
    <r>
      <rPr>
        <b/>
        <sz val="11"/>
        <rFont val="Calibri"/>
        <family val="2"/>
        <charset val="204"/>
        <scheme val="minor"/>
      </rPr>
      <t>19</t>
    </r>
    <r>
      <rPr>
        <sz val="11"/>
        <rFont val="Calibri"/>
        <family val="2"/>
        <charset val="204"/>
        <scheme val="minor"/>
      </rPr>
      <t>)</t>
    </r>
  </si>
  <si>
    <r>
      <t>Кон</t>
    </r>
    <r>
      <rPr>
        <sz val="11"/>
        <rFont val="Calibri"/>
        <family val="2"/>
        <charset val="204"/>
        <scheme val="minor"/>
      </rPr>
      <t xml:space="preserve"> – контрольные вопросы на склонность с аутоагрессии норма: до 6 (из </t>
    </r>
    <r>
      <rPr>
        <b/>
        <sz val="11"/>
        <rFont val="Calibri"/>
        <family val="2"/>
        <charset val="204"/>
        <scheme val="minor"/>
      </rPr>
      <t>14</t>
    </r>
    <r>
      <rPr>
        <sz val="11"/>
        <rFont val="Calibri"/>
        <family val="2"/>
        <charset val="204"/>
        <scheme val="minor"/>
      </rPr>
      <t xml:space="preserve">)      </t>
    </r>
  </si>
  <si>
    <t>База выходная:</t>
  </si>
  <si>
    <t>(ретест, рекомендован, нерекомендован, условно рекомендован)</t>
  </si>
  <si>
    <t>варианты</t>
  </si>
  <si>
    <t>Истероидные проявления</t>
  </si>
  <si>
    <t>&gt;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</si>
</sst>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b/>
      <sz val="11"/>
      <color theme="8" tint="0.59999389629810485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6"/>
      <color rgb="FF00B0F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4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0" fillId="9" borderId="0" xfId="0" applyFill="1" applyAlignment="1">
      <alignment horizontal="center"/>
    </xf>
    <xf numFmtId="0" fontId="3" fillId="9" borderId="1" xfId="0" applyFont="1" applyFill="1" applyBorder="1" applyAlignment="1">
      <alignment vertical="center"/>
    </xf>
    <xf numFmtId="0" fontId="2" fillId="9" borderId="0" xfId="0" applyFont="1" applyFill="1" applyAlignment="1">
      <alignment horizontal="left" vertical="center" indent="4"/>
    </xf>
    <xf numFmtId="0" fontId="2" fillId="9" borderId="0" xfId="0" applyFont="1" applyFill="1" applyAlignment="1">
      <alignment vertical="center"/>
    </xf>
    <xf numFmtId="0" fontId="0" fillId="9" borderId="0" xfId="0" applyFill="1"/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/>
    <xf numFmtId="49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99FF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22"/>
  <sheetViews>
    <sheetView zoomScale="120" zoomScaleNormal="120" workbookViewId="0">
      <selection activeCell="B11" sqref="B11"/>
    </sheetView>
  </sheetViews>
  <sheetFormatPr defaultRowHeight="14.5" x14ac:dyDescent="0.35"/>
  <cols>
    <col min="1" max="1" width="4.7265625" customWidth="1"/>
    <col min="2" max="2" width="96" customWidth="1"/>
    <col min="3" max="3" width="5.26953125" style="34" customWidth="1"/>
    <col min="4" max="4" width="12.453125" style="22" customWidth="1"/>
    <col min="5" max="5" width="9.1796875" style="22"/>
    <col min="7" max="8" width="9.1796875" style="3"/>
  </cols>
  <sheetData>
    <row r="1" spans="2:6" x14ac:dyDescent="0.35">
      <c r="B1" s="3" t="s">
        <v>179</v>
      </c>
    </row>
    <row r="2" spans="2:6" x14ac:dyDescent="0.35">
      <c r="C2" s="38" t="s">
        <v>183</v>
      </c>
      <c r="D2" s="37" t="s">
        <v>184</v>
      </c>
    </row>
    <row r="3" spans="2:6" s="3" customFormat="1" x14ac:dyDescent="0.35">
      <c r="B3" s="4" t="s">
        <v>177</v>
      </c>
      <c r="C3" s="36" t="s">
        <v>178</v>
      </c>
      <c r="D3" s="19" t="s">
        <v>161</v>
      </c>
      <c r="E3" s="19" t="s">
        <v>160</v>
      </c>
    </row>
    <row r="4" spans="2:6" x14ac:dyDescent="0.35">
      <c r="B4" s="39" t="s">
        <v>173</v>
      </c>
      <c r="C4" s="35">
        <v>1</v>
      </c>
      <c r="D4" s="19">
        <v>1</v>
      </c>
      <c r="E4" s="19"/>
      <c r="F4" s="3">
        <f>SUM(D4:E4)</f>
        <v>1</v>
      </c>
    </row>
    <row r="5" spans="2:6" x14ac:dyDescent="0.35">
      <c r="B5" s="40" t="s">
        <v>171</v>
      </c>
      <c r="C5" s="35">
        <v>2</v>
      </c>
      <c r="D5" s="19">
        <v>1</v>
      </c>
      <c r="E5" s="19"/>
      <c r="F5" s="3">
        <f t="shared" ref="F5:F68" si="0">SUM(D5:E5)</f>
        <v>1</v>
      </c>
    </row>
    <row r="6" spans="2:6" x14ac:dyDescent="0.35">
      <c r="B6" s="39" t="s">
        <v>1</v>
      </c>
      <c r="C6" s="35">
        <v>3</v>
      </c>
      <c r="D6" s="19"/>
      <c r="E6" s="19">
        <v>1</v>
      </c>
      <c r="F6" s="3">
        <f t="shared" si="0"/>
        <v>1</v>
      </c>
    </row>
    <row r="7" spans="2:6" x14ac:dyDescent="0.35">
      <c r="B7" s="39" t="s">
        <v>2</v>
      </c>
      <c r="C7" s="35">
        <v>4</v>
      </c>
      <c r="D7" s="19"/>
      <c r="E7" s="19">
        <v>1</v>
      </c>
      <c r="F7" s="3">
        <f t="shared" si="0"/>
        <v>1</v>
      </c>
    </row>
    <row r="8" spans="2:6" x14ac:dyDescent="0.35">
      <c r="B8" s="39" t="s">
        <v>3</v>
      </c>
      <c r="C8" s="35">
        <v>5</v>
      </c>
      <c r="D8" s="19"/>
      <c r="E8" s="19">
        <v>1</v>
      </c>
      <c r="F8" s="3">
        <f t="shared" si="0"/>
        <v>1</v>
      </c>
    </row>
    <row r="9" spans="2:6" x14ac:dyDescent="0.35">
      <c r="B9" s="39" t="s">
        <v>4</v>
      </c>
      <c r="C9" s="35">
        <v>6</v>
      </c>
      <c r="D9" s="19">
        <v>1</v>
      </c>
      <c r="E9" s="19"/>
      <c r="F9" s="3">
        <f t="shared" si="0"/>
        <v>1</v>
      </c>
    </row>
    <row r="10" spans="2:6" x14ac:dyDescent="0.35">
      <c r="B10" s="39" t="s">
        <v>5</v>
      </c>
      <c r="C10" s="35">
        <v>7</v>
      </c>
      <c r="D10" s="19"/>
      <c r="E10" s="19">
        <v>1</v>
      </c>
      <c r="F10" s="3">
        <f t="shared" si="0"/>
        <v>1</v>
      </c>
    </row>
    <row r="11" spans="2:6" x14ac:dyDescent="0.35">
      <c r="B11" s="39" t="s">
        <v>6</v>
      </c>
      <c r="C11" s="35">
        <v>8</v>
      </c>
      <c r="D11" s="19"/>
      <c r="E11" s="19">
        <v>1</v>
      </c>
      <c r="F11" s="3">
        <f t="shared" si="0"/>
        <v>1</v>
      </c>
    </row>
    <row r="12" spans="2:6" x14ac:dyDescent="0.35">
      <c r="B12" s="39" t="s">
        <v>7</v>
      </c>
      <c r="C12" s="35">
        <v>9</v>
      </c>
      <c r="D12" s="19"/>
      <c r="E12" s="19">
        <v>1</v>
      </c>
      <c r="F12" s="3">
        <f t="shared" si="0"/>
        <v>1</v>
      </c>
    </row>
    <row r="13" spans="2:6" x14ac:dyDescent="0.35">
      <c r="B13" s="39" t="s">
        <v>8</v>
      </c>
      <c r="C13" s="35">
        <v>10</v>
      </c>
      <c r="D13" s="19"/>
      <c r="E13" s="19">
        <v>1</v>
      </c>
      <c r="F13" s="3">
        <f t="shared" si="0"/>
        <v>1</v>
      </c>
    </row>
    <row r="14" spans="2:6" x14ac:dyDescent="0.35">
      <c r="B14" s="39" t="s">
        <v>9</v>
      </c>
      <c r="C14" s="35">
        <v>11</v>
      </c>
      <c r="D14" s="19">
        <v>1</v>
      </c>
      <c r="E14" s="19"/>
      <c r="F14" s="3">
        <f t="shared" si="0"/>
        <v>1</v>
      </c>
    </row>
    <row r="15" spans="2:6" x14ac:dyDescent="0.35">
      <c r="B15" s="39" t="s">
        <v>10</v>
      </c>
      <c r="C15" s="35">
        <v>12</v>
      </c>
      <c r="D15" s="19"/>
      <c r="E15" s="19">
        <v>1</v>
      </c>
      <c r="F15" s="3">
        <f t="shared" si="0"/>
        <v>1</v>
      </c>
    </row>
    <row r="16" spans="2:6" x14ac:dyDescent="0.35">
      <c r="B16" s="39" t="s">
        <v>11</v>
      </c>
      <c r="C16" s="35">
        <v>13</v>
      </c>
      <c r="D16" s="19"/>
      <c r="E16" s="19">
        <v>1</v>
      </c>
      <c r="F16" s="3">
        <f t="shared" si="0"/>
        <v>1</v>
      </c>
    </row>
    <row r="17" spans="2:7" x14ac:dyDescent="0.35">
      <c r="B17" s="39" t="s">
        <v>12</v>
      </c>
      <c r="C17" s="35">
        <v>14</v>
      </c>
      <c r="D17" s="19"/>
      <c r="E17" s="19">
        <v>1</v>
      </c>
      <c r="F17" s="3">
        <f t="shared" si="0"/>
        <v>1</v>
      </c>
    </row>
    <row r="18" spans="2:7" x14ac:dyDescent="0.35">
      <c r="B18" s="39" t="s">
        <v>13</v>
      </c>
      <c r="C18" s="35">
        <v>15</v>
      </c>
      <c r="D18" s="19"/>
      <c r="E18" s="19">
        <v>1</v>
      </c>
      <c r="F18" s="3">
        <f t="shared" si="0"/>
        <v>1</v>
      </c>
    </row>
    <row r="19" spans="2:7" x14ac:dyDescent="0.35">
      <c r="B19" s="39" t="s">
        <v>14</v>
      </c>
      <c r="C19" s="35">
        <v>16</v>
      </c>
      <c r="D19" s="19"/>
      <c r="E19" s="19">
        <v>1</v>
      </c>
      <c r="F19" s="3">
        <f t="shared" si="0"/>
        <v>1</v>
      </c>
    </row>
    <row r="20" spans="2:7" x14ac:dyDescent="0.35">
      <c r="B20" s="39" t="s">
        <v>15</v>
      </c>
      <c r="C20" s="35">
        <v>17</v>
      </c>
      <c r="D20" s="19"/>
      <c r="E20" s="19">
        <v>1</v>
      </c>
      <c r="F20" s="3">
        <f t="shared" si="0"/>
        <v>1</v>
      </c>
    </row>
    <row r="21" spans="2:7" x14ac:dyDescent="0.35">
      <c r="B21" s="39" t="s">
        <v>16</v>
      </c>
      <c r="C21" s="35">
        <v>18</v>
      </c>
      <c r="D21" s="19">
        <v>1</v>
      </c>
      <c r="E21" s="19"/>
      <c r="F21" s="3">
        <f t="shared" si="0"/>
        <v>1</v>
      </c>
    </row>
    <row r="22" spans="2:7" x14ac:dyDescent="0.35">
      <c r="B22" s="39" t="s">
        <v>17</v>
      </c>
      <c r="C22" s="35">
        <v>19</v>
      </c>
      <c r="D22" s="19">
        <v>1</v>
      </c>
      <c r="E22" s="19"/>
      <c r="F22" s="3">
        <f t="shared" si="0"/>
        <v>1</v>
      </c>
    </row>
    <row r="23" spans="2:7" x14ac:dyDescent="0.35">
      <c r="B23" s="39" t="s">
        <v>18</v>
      </c>
      <c r="C23" s="35">
        <v>20</v>
      </c>
      <c r="D23" s="19"/>
      <c r="E23" s="19">
        <v>1</v>
      </c>
      <c r="F23" s="3">
        <f t="shared" si="0"/>
        <v>1</v>
      </c>
    </row>
    <row r="24" spans="2:7" x14ac:dyDescent="0.35">
      <c r="B24" s="39" t="s">
        <v>19</v>
      </c>
      <c r="C24" s="35">
        <v>21</v>
      </c>
      <c r="D24" s="19"/>
      <c r="E24" s="19">
        <v>1</v>
      </c>
      <c r="F24" s="3">
        <f t="shared" si="0"/>
        <v>1</v>
      </c>
    </row>
    <row r="25" spans="2:7" x14ac:dyDescent="0.35">
      <c r="B25" s="39" t="s">
        <v>20</v>
      </c>
      <c r="C25" s="35">
        <v>22</v>
      </c>
      <c r="D25" s="19"/>
      <c r="E25" s="19">
        <v>1</v>
      </c>
      <c r="F25" s="3">
        <f t="shared" si="0"/>
        <v>1</v>
      </c>
    </row>
    <row r="26" spans="2:7" x14ac:dyDescent="0.35">
      <c r="B26" s="39" t="s">
        <v>21</v>
      </c>
      <c r="C26" s="35">
        <v>23</v>
      </c>
      <c r="D26" s="19">
        <v>1</v>
      </c>
      <c r="E26" s="19"/>
      <c r="F26" s="3">
        <f t="shared" si="0"/>
        <v>1</v>
      </c>
    </row>
    <row r="27" spans="2:7" x14ac:dyDescent="0.35">
      <c r="B27" s="39" t="s">
        <v>22</v>
      </c>
      <c r="C27" s="35">
        <v>24</v>
      </c>
      <c r="D27" s="19"/>
      <c r="E27" s="19">
        <v>1</v>
      </c>
      <c r="F27" s="3">
        <f t="shared" si="0"/>
        <v>1</v>
      </c>
    </row>
    <row r="28" spans="2:7" x14ac:dyDescent="0.35">
      <c r="B28" s="39" t="s">
        <v>23</v>
      </c>
      <c r="C28" s="35">
        <v>25</v>
      </c>
      <c r="D28" s="19"/>
      <c r="E28" s="19">
        <v>1</v>
      </c>
      <c r="F28" s="3">
        <f t="shared" si="0"/>
        <v>1</v>
      </c>
    </row>
    <row r="29" spans="2:7" x14ac:dyDescent="0.35">
      <c r="B29" s="39" t="s">
        <v>172</v>
      </c>
      <c r="C29" s="35">
        <v>26</v>
      </c>
      <c r="D29" s="19">
        <v>1</v>
      </c>
      <c r="E29" s="19"/>
      <c r="F29" s="3">
        <f t="shared" si="0"/>
        <v>1</v>
      </c>
      <c r="G29" s="25"/>
    </row>
    <row r="30" spans="2:7" x14ac:dyDescent="0.35">
      <c r="B30" s="39" t="s">
        <v>24</v>
      </c>
      <c r="C30" s="35">
        <v>27</v>
      </c>
      <c r="D30" s="19">
        <v>1</v>
      </c>
      <c r="E30" s="19"/>
      <c r="F30" s="3">
        <f t="shared" si="0"/>
        <v>1</v>
      </c>
    </row>
    <row r="31" spans="2:7" x14ac:dyDescent="0.35">
      <c r="B31" s="39" t="s">
        <v>25</v>
      </c>
      <c r="C31" s="35">
        <v>28</v>
      </c>
      <c r="D31" s="19"/>
      <c r="E31" s="19">
        <v>1</v>
      </c>
      <c r="F31" s="3">
        <f t="shared" si="0"/>
        <v>1</v>
      </c>
    </row>
    <row r="32" spans="2:7" x14ac:dyDescent="0.35">
      <c r="B32" s="39" t="s">
        <v>26</v>
      </c>
      <c r="C32" s="35">
        <v>29</v>
      </c>
      <c r="D32" s="19"/>
      <c r="E32" s="19">
        <v>1</v>
      </c>
      <c r="F32" s="3">
        <f t="shared" si="0"/>
        <v>1</v>
      </c>
    </row>
    <row r="33" spans="2:7" x14ac:dyDescent="0.35">
      <c r="B33" s="39" t="s">
        <v>27</v>
      </c>
      <c r="C33" s="35">
        <v>30</v>
      </c>
      <c r="D33" s="19"/>
      <c r="E33" s="19">
        <v>1</v>
      </c>
      <c r="F33" s="3">
        <f t="shared" si="0"/>
        <v>1</v>
      </c>
    </row>
    <row r="34" spans="2:7" x14ac:dyDescent="0.35">
      <c r="B34" s="39" t="s">
        <v>169</v>
      </c>
      <c r="C34" s="35">
        <v>31</v>
      </c>
      <c r="D34" s="19">
        <v>1</v>
      </c>
      <c r="E34" s="19"/>
      <c r="F34" s="3">
        <f t="shared" si="0"/>
        <v>1</v>
      </c>
      <c r="G34" s="28"/>
    </row>
    <row r="35" spans="2:7" x14ac:dyDescent="0.35">
      <c r="B35" s="39" t="s">
        <v>28</v>
      </c>
      <c r="C35" s="35">
        <v>32</v>
      </c>
      <c r="D35" s="19"/>
      <c r="E35" s="19">
        <v>1</v>
      </c>
      <c r="F35" s="3">
        <f t="shared" si="0"/>
        <v>1</v>
      </c>
    </row>
    <row r="36" spans="2:7" x14ac:dyDescent="0.35">
      <c r="B36" s="39" t="s">
        <v>29</v>
      </c>
      <c r="C36" s="35">
        <v>33</v>
      </c>
      <c r="D36" s="19"/>
      <c r="E36" s="19">
        <v>1</v>
      </c>
      <c r="F36" s="3">
        <f t="shared" si="0"/>
        <v>1</v>
      </c>
    </row>
    <row r="37" spans="2:7" x14ac:dyDescent="0.35">
      <c r="B37" s="39" t="s">
        <v>30</v>
      </c>
      <c r="C37" s="35">
        <v>34</v>
      </c>
      <c r="D37" s="19">
        <v>1</v>
      </c>
      <c r="E37" s="19"/>
      <c r="F37" s="3">
        <f t="shared" si="0"/>
        <v>1</v>
      </c>
    </row>
    <row r="38" spans="2:7" x14ac:dyDescent="0.35">
      <c r="B38" s="39" t="s">
        <v>31</v>
      </c>
      <c r="C38" s="35">
        <v>35</v>
      </c>
      <c r="D38" s="19">
        <v>1</v>
      </c>
      <c r="E38" s="19"/>
      <c r="F38" s="3">
        <f t="shared" si="0"/>
        <v>1</v>
      </c>
    </row>
    <row r="39" spans="2:7" x14ac:dyDescent="0.35">
      <c r="B39" s="39" t="s">
        <v>32</v>
      </c>
      <c r="C39" s="35">
        <v>36</v>
      </c>
      <c r="D39" s="19"/>
      <c r="E39" s="19">
        <v>1</v>
      </c>
      <c r="F39" s="3">
        <f t="shared" si="0"/>
        <v>1</v>
      </c>
    </row>
    <row r="40" spans="2:7" x14ac:dyDescent="0.35">
      <c r="B40" s="39" t="s">
        <v>33</v>
      </c>
      <c r="C40" s="35">
        <v>37</v>
      </c>
      <c r="D40" s="19"/>
      <c r="E40" s="19">
        <v>1</v>
      </c>
      <c r="F40" s="3">
        <f t="shared" si="0"/>
        <v>1</v>
      </c>
    </row>
    <row r="41" spans="2:7" x14ac:dyDescent="0.35">
      <c r="B41" s="39" t="s">
        <v>34</v>
      </c>
      <c r="C41" s="35">
        <v>38</v>
      </c>
      <c r="D41" s="19"/>
      <c r="E41" s="19">
        <v>1</v>
      </c>
      <c r="F41" s="3">
        <f t="shared" si="0"/>
        <v>1</v>
      </c>
    </row>
    <row r="42" spans="2:7" x14ac:dyDescent="0.35">
      <c r="B42" s="39" t="s">
        <v>35</v>
      </c>
      <c r="C42" s="35">
        <v>39</v>
      </c>
      <c r="D42" s="19">
        <v>1</v>
      </c>
      <c r="E42" s="19"/>
      <c r="F42" s="3">
        <f t="shared" si="0"/>
        <v>1</v>
      </c>
    </row>
    <row r="43" spans="2:7" x14ac:dyDescent="0.35">
      <c r="B43" s="39" t="s">
        <v>36</v>
      </c>
      <c r="C43" s="35">
        <v>40</v>
      </c>
      <c r="D43" s="19"/>
      <c r="E43" s="19">
        <v>1</v>
      </c>
      <c r="F43" s="3">
        <f t="shared" si="0"/>
        <v>1</v>
      </c>
    </row>
    <row r="44" spans="2:7" x14ac:dyDescent="0.35">
      <c r="B44" s="39" t="s">
        <v>37</v>
      </c>
      <c r="C44" s="35">
        <v>41</v>
      </c>
      <c r="D44" s="19"/>
      <c r="E44" s="19">
        <v>1</v>
      </c>
      <c r="F44" s="3">
        <f t="shared" si="0"/>
        <v>1</v>
      </c>
    </row>
    <row r="45" spans="2:7" x14ac:dyDescent="0.35">
      <c r="B45" s="39" t="s">
        <v>38</v>
      </c>
      <c r="C45" s="35">
        <v>42</v>
      </c>
      <c r="D45" s="19">
        <v>1</v>
      </c>
      <c r="E45" s="19"/>
      <c r="F45" s="3">
        <f t="shared" si="0"/>
        <v>1</v>
      </c>
    </row>
    <row r="46" spans="2:7" x14ac:dyDescent="0.35">
      <c r="B46" s="39" t="s">
        <v>39</v>
      </c>
      <c r="C46" s="35">
        <v>43</v>
      </c>
      <c r="D46" s="19">
        <v>1</v>
      </c>
      <c r="E46" s="19"/>
      <c r="F46" s="3">
        <f t="shared" si="0"/>
        <v>1</v>
      </c>
    </row>
    <row r="47" spans="2:7" x14ac:dyDescent="0.35">
      <c r="B47" s="39" t="s">
        <v>40</v>
      </c>
      <c r="C47" s="35">
        <v>44</v>
      </c>
      <c r="D47" s="19"/>
      <c r="E47" s="19">
        <v>1</v>
      </c>
      <c r="F47" s="3">
        <f t="shared" si="0"/>
        <v>1</v>
      </c>
    </row>
    <row r="48" spans="2:7" ht="15.75" customHeight="1" x14ac:dyDescent="0.35">
      <c r="B48" s="39" t="s">
        <v>41</v>
      </c>
      <c r="C48" s="35">
        <v>45</v>
      </c>
      <c r="D48" s="19"/>
      <c r="E48" s="19">
        <v>1</v>
      </c>
      <c r="F48" s="3">
        <f t="shared" si="0"/>
        <v>1</v>
      </c>
    </row>
    <row r="49" spans="2:6" ht="28.5" customHeight="1" x14ac:dyDescent="0.35">
      <c r="B49" s="39" t="s">
        <v>42</v>
      </c>
      <c r="C49" s="35">
        <v>46</v>
      </c>
      <c r="D49" s="19">
        <v>1</v>
      </c>
      <c r="E49" s="19"/>
      <c r="F49" s="3">
        <f t="shared" si="0"/>
        <v>1</v>
      </c>
    </row>
    <row r="50" spans="2:6" x14ac:dyDescent="0.35">
      <c r="B50" s="39" t="s">
        <v>43</v>
      </c>
      <c r="C50" s="35">
        <v>47</v>
      </c>
      <c r="D50" s="19"/>
      <c r="E50" s="19">
        <v>1</v>
      </c>
      <c r="F50" s="3">
        <f t="shared" si="0"/>
        <v>1</v>
      </c>
    </row>
    <row r="51" spans="2:6" x14ac:dyDescent="0.35">
      <c r="B51" s="39" t="s">
        <v>44</v>
      </c>
      <c r="C51" s="35">
        <v>48</v>
      </c>
      <c r="D51" s="19">
        <v>1</v>
      </c>
      <c r="E51" s="19"/>
      <c r="F51" s="3">
        <f t="shared" si="0"/>
        <v>1</v>
      </c>
    </row>
    <row r="52" spans="2:6" x14ac:dyDescent="0.35">
      <c r="B52" s="39" t="s">
        <v>45</v>
      </c>
      <c r="C52" s="35">
        <v>49</v>
      </c>
      <c r="D52" s="19"/>
      <c r="E52" s="19">
        <v>1</v>
      </c>
      <c r="F52" s="3">
        <f t="shared" si="0"/>
        <v>1</v>
      </c>
    </row>
    <row r="53" spans="2:6" x14ac:dyDescent="0.35">
      <c r="B53" s="39" t="s">
        <v>46</v>
      </c>
      <c r="C53" s="35">
        <v>50</v>
      </c>
      <c r="D53" s="19"/>
      <c r="E53" s="19">
        <v>1</v>
      </c>
      <c r="F53" s="3">
        <f t="shared" si="0"/>
        <v>1</v>
      </c>
    </row>
    <row r="54" spans="2:6" x14ac:dyDescent="0.35">
      <c r="B54" s="39" t="s">
        <v>47</v>
      </c>
      <c r="C54" s="35">
        <v>51</v>
      </c>
      <c r="D54" s="19"/>
      <c r="E54" s="19">
        <v>1</v>
      </c>
      <c r="F54" s="3">
        <f t="shared" si="0"/>
        <v>1</v>
      </c>
    </row>
    <row r="55" spans="2:6" x14ac:dyDescent="0.35">
      <c r="B55" s="39" t="s">
        <v>48</v>
      </c>
      <c r="C55" s="35">
        <v>52</v>
      </c>
      <c r="D55" s="19"/>
      <c r="E55" s="19">
        <v>1</v>
      </c>
      <c r="F55" s="3">
        <f t="shared" si="0"/>
        <v>1</v>
      </c>
    </row>
    <row r="56" spans="2:6" x14ac:dyDescent="0.35">
      <c r="B56" s="39" t="s">
        <v>49</v>
      </c>
      <c r="C56" s="35">
        <v>53</v>
      </c>
      <c r="D56" s="19"/>
      <c r="E56" s="19">
        <v>1</v>
      </c>
      <c r="F56" s="3">
        <f t="shared" si="0"/>
        <v>1</v>
      </c>
    </row>
    <row r="57" spans="2:6" x14ac:dyDescent="0.35">
      <c r="B57" s="39" t="s">
        <v>50</v>
      </c>
      <c r="C57" s="35">
        <v>54</v>
      </c>
      <c r="D57" s="19">
        <v>1</v>
      </c>
      <c r="E57" s="19"/>
      <c r="F57" s="3">
        <f t="shared" si="0"/>
        <v>1</v>
      </c>
    </row>
    <row r="58" spans="2:6" x14ac:dyDescent="0.35">
      <c r="B58" s="39" t="s">
        <v>176</v>
      </c>
      <c r="C58" s="35">
        <v>55</v>
      </c>
      <c r="D58" s="19">
        <v>1</v>
      </c>
      <c r="E58" s="19"/>
      <c r="F58" s="3">
        <f t="shared" si="0"/>
        <v>1</v>
      </c>
    </row>
    <row r="59" spans="2:6" x14ac:dyDescent="0.35">
      <c r="B59" s="39" t="s">
        <v>51</v>
      </c>
      <c r="C59" s="35">
        <v>56</v>
      </c>
      <c r="D59" s="19"/>
      <c r="E59" s="19">
        <v>1</v>
      </c>
      <c r="F59" s="3">
        <f t="shared" si="0"/>
        <v>1</v>
      </c>
    </row>
    <row r="60" spans="2:6" x14ac:dyDescent="0.35">
      <c r="B60" s="39" t="s">
        <v>52</v>
      </c>
      <c r="C60" s="35">
        <v>57</v>
      </c>
      <c r="D60" s="19"/>
      <c r="E60" s="19">
        <v>1</v>
      </c>
      <c r="F60" s="3">
        <f t="shared" si="0"/>
        <v>1</v>
      </c>
    </row>
    <row r="61" spans="2:6" x14ac:dyDescent="0.35">
      <c r="B61" s="39" t="s">
        <v>181</v>
      </c>
      <c r="C61" s="35">
        <v>58</v>
      </c>
      <c r="D61" s="19"/>
      <c r="E61" s="19">
        <v>1</v>
      </c>
      <c r="F61" s="3">
        <f t="shared" si="0"/>
        <v>1</v>
      </c>
    </row>
    <row r="62" spans="2:6" x14ac:dyDescent="0.35">
      <c r="B62" s="39" t="s">
        <v>182</v>
      </c>
      <c r="C62" s="35">
        <v>59</v>
      </c>
      <c r="D62" s="19"/>
      <c r="E62" s="19">
        <v>1</v>
      </c>
      <c r="F62" s="3">
        <f t="shared" si="0"/>
        <v>1</v>
      </c>
    </row>
    <row r="63" spans="2:6" x14ac:dyDescent="0.35">
      <c r="B63" s="39" t="s">
        <v>55</v>
      </c>
      <c r="C63" s="35">
        <v>60</v>
      </c>
      <c r="D63" s="19"/>
      <c r="E63" s="19">
        <v>1</v>
      </c>
      <c r="F63" s="3">
        <f t="shared" si="0"/>
        <v>1</v>
      </c>
    </row>
    <row r="64" spans="2:6" x14ac:dyDescent="0.35">
      <c r="B64" s="39" t="s">
        <v>56</v>
      </c>
      <c r="C64" s="35">
        <v>61</v>
      </c>
      <c r="D64" s="19">
        <v>1</v>
      </c>
      <c r="E64" s="19"/>
      <c r="F64" s="3">
        <f t="shared" si="0"/>
        <v>1</v>
      </c>
    </row>
    <row r="65" spans="2:7" x14ac:dyDescent="0.35">
      <c r="B65" s="39" t="s">
        <v>57</v>
      </c>
      <c r="C65" s="35">
        <v>62</v>
      </c>
      <c r="D65" s="19"/>
      <c r="E65" s="19">
        <v>1</v>
      </c>
      <c r="F65" s="3">
        <f t="shared" si="0"/>
        <v>1</v>
      </c>
    </row>
    <row r="66" spans="2:7" x14ac:dyDescent="0.35">
      <c r="B66" s="39" t="s">
        <v>58</v>
      </c>
      <c r="C66" s="35">
        <v>63</v>
      </c>
      <c r="D66" s="19">
        <v>1</v>
      </c>
      <c r="E66" s="19"/>
      <c r="F66" s="3">
        <f t="shared" si="0"/>
        <v>1</v>
      </c>
    </row>
    <row r="67" spans="2:7" x14ac:dyDescent="0.35">
      <c r="B67" s="39" t="s">
        <v>59</v>
      </c>
      <c r="C67" s="35">
        <v>64</v>
      </c>
      <c r="D67" s="19"/>
      <c r="E67" s="19">
        <v>1</v>
      </c>
      <c r="F67" s="3">
        <f t="shared" si="0"/>
        <v>1</v>
      </c>
    </row>
    <row r="68" spans="2:7" x14ac:dyDescent="0.35">
      <c r="B68" s="39" t="s">
        <v>60</v>
      </c>
      <c r="C68" s="35">
        <v>65</v>
      </c>
      <c r="D68" s="19"/>
      <c r="E68" s="19">
        <v>1</v>
      </c>
      <c r="F68" s="3">
        <f t="shared" si="0"/>
        <v>1</v>
      </c>
    </row>
    <row r="69" spans="2:7" ht="15.75" customHeight="1" x14ac:dyDescent="0.35">
      <c r="B69" s="39" t="s">
        <v>61</v>
      </c>
      <c r="C69" s="35">
        <v>66</v>
      </c>
      <c r="D69" s="19"/>
      <c r="E69" s="19">
        <v>1</v>
      </c>
      <c r="F69" s="3">
        <f t="shared" ref="F69:F132" si="1">SUM(D69:E69)</f>
        <v>1</v>
      </c>
    </row>
    <row r="70" spans="2:7" x14ac:dyDescent="0.35">
      <c r="B70" s="39" t="s">
        <v>62</v>
      </c>
      <c r="C70" s="35">
        <v>67</v>
      </c>
      <c r="D70" s="19">
        <v>1</v>
      </c>
      <c r="E70" s="19"/>
      <c r="F70" s="3">
        <f t="shared" si="1"/>
        <v>1</v>
      </c>
    </row>
    <row r="71" spans="2:7" x14ac:dyDescent="0.35">
      <c r="B71" s="39" t="s">
        <v>63</v>
      </c>
      <c r="C71" s="35">
        <v>68</v>
      </c>
      <c r="D71" s="19"/>
      <c r="E71" s="19">
        <v>1</v>
      </c>
      <c r="F71" s="3">
        <f t="shared" si="1"/>
        <v>1</v>
      </c>
    </row>
    <row r="72" spans="2:7" x14ac:dyDescent="0.35">
      <c r="B72" s="39" t="s">
        <v>64</v>
      </c>
      <c r="C72" s="35">
        <v>69</v>
      </c>
      <c r="D72" s="19"/>
      <c r="E72" s="19">
        <v>1</v>
      </c>
      <c r="F72" s="3">
        <f t="shared" si="1"/>
        <v>1</v>
      </c>
    </row>
    <row r="73" spans="2:7" x14ac:dyDescent="0.35">
      <c r="B73" s="39" t="s">
        <v>170</v>
      </c>
      <c r="C73" s="35">
        <v>70</v>
      </c>
      <c r="D73" s="19"/>
      <c r="E73" s="19">
        <v>1</v>
      </c>
      <c r="F73" s="3">
        <f t="shared" si="1"/>
        <v>1</v>
      </c>
    </row>
    <row r="74" spans="2:7" x14ac:dyDescent="0.35">
      <c r="B74" s="39" t="s">
        <v>65</v>
      </c>
      <c r="C74" s="35">
        <v>71</v>
      </c>
      <c r="D74" s="19">
        <v>1</v>
      </c>
      <c r="E74" s="19"/>
      <c r="F74" s="3">
        <f t="shared" si="1"/>
        <v>1</v>
      </c>
    </row>
    <row r="75" spans="2:7" x14ac:dyDescent="0.35">
      <c r="B75" s="39" t="s">
        <v>66</v>
      </c>
      <c r="C75" s="35">
        <v>72</v>
      </c>
      <c r="D75" s="19"/>
      <c r="E75" s="19">
        <v>1</v>
      </c>
      <c r="F75" s="3">
        <f t="shared" si="1"/>
        <v>1</v>
      </c>
      <c r="G75" s="41"/>
    </row>
    <row r="76" spans="2:7" x14ac:dyDescent="0.35">
      <c r="B76" s="39" t="s">
        <v>67</v>
      </c>
      <c r="C76" s="35">
        <v>73</v>
      </c>
      <c r="D76" s="19"/>
      <c r="E76" s="19">
        <v>1</v>
      </c>
      <c r="F76" s="3">
        <f t="shared" si="1"/>
        <v>1</v>
      </c>
    </row>
    <row r="77" spans="2:7" x14ac:dyDescent="0.35">
      <c r="B77" s="39" t="s">
        <v>68</v>
      </c>
      <c r="C77" s="35">
        <v>74</v>
      </c>
      <c r="D77" s="19"/>
      <c r="E77" s="19">
        <v>1</v>
      </c>
      <c r="F77" s="3">
        <f t="shared" si="1"/>
        <v>1</v>
      </c>
    </row>
    <row r="78" spans="2:7" x14ac:dyDescent="0.35">
      <c r="B78" s="39" t="s">
        <v>69</v>
      </c>
      <c r="C78" s="35">
        <v>75</v>
      </c>
      <c r="D78" s="19"/>
      <c r="E78" s="19">
        <v>1</v>
      </c>
      <c r="F78" s="3">
        <f t="shared" si="1"/>
        <v>1</v>
      </c>
    </row>
    <row r="79" spans="2:7" x14ac:dyDescent="0.35">
      <c r="B79" s="39" t="s">
        <v>180</v>
      </c>
      <c r="C79" s="35">
        <v>76</v>
      </c>
      <c r="D79" s="19"/>
      <c r="E79" s="19">
        <v>1</v>
      </c>
      <c r="F79" s="3">
        <f t="shared" si="1"/>
        <v>1</v>
      </c>
    </row>
    <row r="80" spans="2:7" x14ac:dyDescent="0.35">
      <c r="B80" s="39" t="s">
        <v>71</v>
      </c>
      <c r="C80" s="35">
        <v>77</v>
      </c>
      <c r="D80" s="19"/>
      <c r="E80" s="19">
        <v>1</v>
      </c>
      <c r="F80" s="3">
        <f t="shared" si="1"/>
        <v>1</v>
      </c>
    </row>
    <row r="81" spans="2:6" x14ac:dyDescent="0.35">
      <c r="B81" s="39" t="s">
        <v>72</v>
      </c>
      <c r="C81" s="35">
        <v>78</v>
      </c>
      <c r="D81" s="19"/>
      <c r="E81" s="19">
        <v>1</v>
      </c>
      <c r="F81" s="3">
        <f t="shared" si="1"/>
        <v>1</v>
      </c>
    </row>
    <row r="82" spans="2:6" x14ac:dyDescent="0.35">
      <c r="B82" s="39" t="s">
        <v>73</v>
      </c>
      <c r="C82" s="35">
        <v>79</v>
      </c>
      <c r="D82" s="19">
        <v>1</v>
      </c>
      <c r="E82" s="19"/>
      <c r="F82" s="3">
        <f t="shared" si="1"/>
        <v>1</v>
      </c>
    </row>
    <row r="83" spans="2:6" ht="26.25" customHeight="1" x14ac:dyDescent="0.35">
      <c r="B83" s="39" t="s">
        <v>74</v>
      </c>
      <c r="C83" s="35">
        <v>80</v>
      </c>
      <c r="D83" s="19"/>
      <c r="E83" s="19">
        <v>1</v>
      </c>
      <c r="F83" s="3">
        <f t="shared" si="1"/>
        <v>1</v>
      </c>
    </row>
    <row r="84" spans="2:6" x14ac:dyDescent="0.35">
      <c r="B84" s="39" t="s">
        <v>75</v>
      </c>
      <c r="C84" s="35">
        <v>81</v>
      </c>
      <c r="D84" s="19"/>
      <c r="E84" s="19">
        <v>1</v>
      </c>
      <c r="F84" s="3">
        <f t="shared" si="1"/>
        <v>1</v>
      </c>
    </row>
    <row r="85" spans="2:6" x14ac:dyDescent="0.35">
      <c r="B85" s="39" t="s">
        <v>76</v>
      </c>
      <c r="C85" s="35">
        <v>82</v>
      </c>
      <c r="D85" s="19"/>
      <c r="E85" s="19">
        <v>1</v>
      </c>
      <c r="F85" s="3">
        <f t="shared" si="1"/>
        <v>1</v>
      </c>
    </row>
    <row r="86" spans="2:6" x14ac:dyDescent="0.35">
      <c r="B86" s="39" t="s">
        <v>77</v>
      </c>
      <c r="C86" s="35">
        <v>83</v>
      </c>
      <c r="D86" s="19"/>
      <c r="E86" s="19">
        <v>1</v>
      </c>
      <c r="F86" s="3">
        <f t="shared" si="1"/>
        <v>1</v>
      </c>
    </row>
    <row r="87" spans="2:6" x14ac:dyDescent="0.35">
      <c r="B87" s="39" t="s">
        <v>78</v>
      </c>
      <c r="C87" s="35">
        <v>84</v>
      </c>
      <c r="D87" s="19"/>
      <c r="E87" s="19">
        <v>1</v>
      </c>
      <c r="F87" s="3">
        <f t="shared" si="1"/>
        <v>1</v>
      </c>
    </row>
    <row r="88" spans="2:6" x14ac:dyDescent="0.35">
      <c r="B88" s="39" t="s">
        <v>79</v>
      </c>
      <c r="C88" s="35">
        <v>85</v>
      </c>
      <c r="D88" s="19"/>
      <c r="E88" s="19">
        <v>1</v>
      </c>
      <c r="F88" s="3">
        <f t="shared" si="1"/>
        <v>1</v>
      </c>
    </row>
    <row r="89" spans="2:6" x14ac:dyDescent="0.35">
      <c r="B89" s="39" t="s">
        <v>80</v>
      </c>
      <c r="C89" s="35">
        <v>86</v>
      </c>
      <c r="D89" s="19"/>
      <c r="E89" s="19">
        <v>1</v>
      </c>
      <c r="F89" s="3">
        <f t="shared" si="1"/>
        <v>1</v>
      </c>
    </row>
    <row r="90" spans="2:6" x14ac:dyDescent="0.35">
      <c r="B90" s="39" t="s">
        <v>81</v>
      </c>
      <c r="C90" s="35">
        <v>87</v>
      </c>
      <c r="D90" s="19"/>
      <c r="E90" s="19">
        <v>1</v>
      </c>
      <c r="F90" s="3">
        <f t="shared" si="1"/>
        <v>1</v>
      </c>
    </row>
    <row r="91" spans="2:6" x14ac:dyDescent="0.35">
      <c r="B91" s="39" t="s">
        <v>82</v>
      </c>
      <c r="C91" s="35">
        <v>88</v>
      </c>
      <c r="D91" s="19"/>
      <c r="E91" s="19">
        <v>1</v>
      </c>
      <c r="F91" s="3">
        <f t="shared" si="1"/>
        <v>1</v>
      </c>
    </row>
    <row r="92" spans="2:6" x14ac:dyDescent="0.35">
      <c r="B92" s="39" t="s">
        <v>83</v>
      </c>
      <c r="C92" s="35">
        <v>89</v>
      </c>
      <c r="D92" s="19"/>
      <c r="E92" s="19">
        <v>1</v>
      </c>
      <c r="F92" s="3">
        <f t="shared" si="1"/>
        <v>1</v>
      </c>
    </row>
    <row r="93" spans="2:6" x14ac:dyDescent="0.35">
      <c r="B93" s="39" t="s">
        <v>84</v>
      </c>
      <c r="C93" s="35">
        <v>90</v>
      </c>
      <c r="D93" s="19"/>
      <c r="E93" s="19">
        <v>1</v>
      </c>
      <c r="F93" s="3">
        <f t="shared" si="1"/>
        <v>1</v>
      </c>
    </row>
    <row r="94" spans="2:6" x14ac:dyDescent="0.35">
      <c r="B94" s="39" t="s">
        <v>85</v>
      </c>
      <c r="C94" s="35">
        <v>91</v>
      </c>
      <c r="D94" s="19"/>
      <c r="E94" s="19">
        <v>1</v>
      </c>
      <c r="F94" s="3">
        <f t="shared" si="1"/>
        <v>1</v>
      </c>
    </row>
    <row r="95" spans="2:6" x14ac:dyDescent="0.35">
      <c r="B95" s="39" t="s">
        <v>86</v>
      </c>
      <c r="C95" s="35">
        <v>92</v>
      </c>
      <c r="D95" s="19"/>
      <c r="E95" s="19">
        <v>1</v>
      </c>
      <c r="F95" s="3">
        <f t="shared" si="1"/>
        <v>1</v>
      </c>
    </row>
    <row r="96" spans="2:6" x14ac:dyDescent="0.35">
      <c r="B96" s="39" t="s">
        <v>87</v>
      </c>
      <c r="C96" s="35">
        <v>93</v>
      </c>
      <c r="D96" s="19"/>
      <c r="E96" s="19">
        <v>1</v>
      </c>
      <c r="F96" s="3">
        <f t="shared" si="1"/>
        <v>1</v>
      </c>
    </row>
    <row r="97" spans="2:6" x14ac:dyDescent="0.35">
      <c r="B97" s="39" t="s">
        <v>88</v>
      </c>
      <c r="C97" s="35">
        <v>94</v>
      </c>
      <c r="D97" s="19"/>
      <c r="E97" s="19">
        <v>1</v>
      </c>
      <c r="F97" s="3">
        <f t="shared" si="1"/>
        <v>1</v>
      </c>
    </row>
    <row r="98" spans="2:6" x14ac:dyDescent="0.35">
      <c r="B98" s="39" t="s">
        <v>89</v>
      </c>
      <c r="C98" s="35">
        <v>95</v>
      </c>
      <c r="D98" s="19"/>
      <c r="E98" s="19">
        <v>1</v>
      </c>
      <c r="F98" s="3">
        <f t="shared" si="1"/>
        <v>1</v>
      </c>
    </row>
    <row r="99" spans="2:6" x14ac:dyDescent="0.35">
      <c r="B99" s="39" t="s">
        <v>90</v>
      </c>
      <c r="C99" s="35">
        <v>96</v>
      </c>
      <c r="D99" s="19"/>
      <c r="E99" s="19">
        <v>1</v>
      </c>
      <c r="F99" s="3">
        <f t="shared" si="1"/>
        <v>1</v>
      </c>
    </row>
    <row r="100" spans="2:6" x14ac:dyDescent="0.35">
      <c r="B100" s="39" t="s">
        <v>91</v>
      </c>
      <c r="C100" s="35">
        <v>97</v>
      </c>
      <c r="D100" s="19"/>
      <c r="E100" s="19">
        <v>1</v>
      </c>
      <c r="F100" s="3">
        <f t="shared" si="1"/>
        <v>1</v>
      </c>
    </row>
    <row r="101" spans="2:6" x14ac:dyDescent="0.35">
      <c r="B101" s="39" t="s">
        <v>92</v>
      </c>
      <c r="C101" s="35">
        <v>98</v>
      </c>
      <c r="D101" s="19"/>
      <c r="E101" s="19">
        <v>1</v>
      </c>
      <c r="F101" s="3">
        <f t="shared" si="1"/>
        <v>1</v>
      </c>
    </row>
    <row r="102" spans="2:6" x14ac:dyDescent="0.35">
      <c r="B102" s="39" t="s">
        <v>93</v>
      </c>
      <c r="C102" s="35">
        <v>99</v>
      </c>
      <c r="D102" s="19">
        <v>1</v>
      </c>
      <c r="E102" s="19"/>
      <c r="F102" s="3">
        <f t="shared" si="1"/>
        <v>1</v>
      </c>
    </row>
    <row r="103" spans="2:6" x14ac:dyDescent="0.35">
      <c r="B103" s="39" t="s">
        <v>94</v>
      </c>
      <c r="C103" s="35">
        <v>100</v>
      </c>
      <c r="D103" s="19"/>
      <c r="E103" s="19">
        <v>1</v>
      </c>
      <c r="F103" s="3">
        <f t="shared" si="1"/>
        <v>1</v>
      </c>
    </row>
    <row r="104" spans="2:6" x14ac:dyDescent="0.35">
      <c r="B104" s="39" t="s">
        <v>95</v>
      </c>
      <c r="C104" s="35">
        <v>101</v>
      </c>
      <c r="D104" s="19"/>
      <c r="E104" s="19">
        <v>1</v>
      </c>
      <c r="F104" s="3">
        <f t="shared" si="1"/>
        <v>1</v>
      </c>
    </row>
    <row r="105" spans="2:6" x14ac:dyDescent="0.35">
      <c r="B105" s="39" t="s">
        <v>96</v>
      </c>
      <c r="C105" s="35">
        <v>102</v>
      </c>
      <c r="D105" s="19"/>
      <c r="E105" s="19">
        <v>1</v>
      </c>
      <c r="F105" s="3">
        <f t="shared" si="1"/>
        <v>1</v>
      </c>
    </row>
    <row r="106" spans="2:6" x14ac:dyDescent="0.35">
      <c r="B106" s="39" t="s">
        <v>97</v>
      </c>
      <c r="C106" s="35">
        <v>103</v>
      </c>
      <c r="D106" s="19"/>
      <c r="E106" s="19">
        <v>1</v>
      </c>
      <c r="F106" s="3">
        <f t="shared" si="1"/>
        <v>1</v>
      </c>
    </row>
    <row r="107" spans="2:6" x14ac:dyDescent="0.35">
      <c r="B107" s="39" t="s">
        <v>98</v>
      </c>
      <c r="C107" s="35">
        <v>104</v>
      </c>
      <c r="D107" s="19">
        <v>1</v>
      </c>
      <c r="E107" s="19"/>
      <c r="F107" s="3">
        <f t="shared" si="1"/>
        <v>1</v>
      </c>
    </row>
    <row r="108" spans="2:6" x14ac:dyDescent="0.35">
      <c r="B108" s="39" t="s">
        <v>174</v>
      </c>
      <c r="C108" s="35">
        <v>105</v>
      </c>
      <c r="D108" s="19"/>
      <c r="E108" s="19">
        <v>1</v>
      </c>
      <c r="F108" s="3">
        <f t="shared" si="1"/>
        <v>1</v>
      </c>
    </row>
    <row r="109" spans="2:6" x14ac:dyDescent="0.35">
      <c r="B109" s="39" t="s">
        <v>100</v>
      </c>
      <c r="C109" s="35">
        <v>106</v>
      </c>
      <c r="D109" s="19"/>
      <c r="E109" s="19">
        <v>1</v>
      </c>
      <c r="F109" s="3">
        <f t="shared" si="1"/>
        <v>1</v>
      </c>
    </row>
    <row r="110" spans="2:6" x14ac:dyDescent="0.35">
      <c r="B110" s="39" t="s">
        <v>101</v>
      </c>
      <c r="C110" s="35">
        <v>107</v>
      </c>
      <c r="D110" s="19"/>
      <c r="E110" s="19">
        <v>1</v>
      </c>
      <c r="F110" s="3">
        <f t="shared" si="1"/>
        <v>1</v>
      </c>
    </row>
    <row r="111" spans="2:6" x14ac:dyDescent="0.35">
      <c r="B111" s="39" t="s">
        <v>102</v>
      </c>
      <c r="C111" s="35">
        <v>108</v>
      </c>
      <c r="D111" s="19"/>
      <c r="E111" s="19">
        <v>1</v>
      </c>
      <c r="F111" s="3">
        <f t="shared" si="1"/>
        <v>1</v>
      </c>
    </row>
    <row r="112" spans="2:6" x14ac:dyDescent="0.35">
      <c r="B112" s="39" t="s">
        <v>103</v>
      </c>
      <c r="C112" s="35">
        <v>109</v>
      </c>
      <c r="D112" s="19"/>
      <c r="E112" s="19">
        <v>1</v>
      </c>
      <c r="F112" s="3">
        <f t="shared" si="1"/>
        <v>1</v>
      </c>
    </row>
    <row r="113" spans="2:6" x14ac:dyDescent="0.35">
      <c r="B113" s="39" t="s">
        <v>104</v>
      </c>
      <c r="C113" s="35">
        <v>110</v>
      </c>
      <c r="D113" s="19">
        <v>1</v>
      </c>
      <c r="E113" s="19"/>
      <c r="F113" s="3">
        <f t="shared" si="1"/>
        <v>1</v>
      </c>
    </row>
    <row r="114" spans="2:6" x14ac:dyDescent="0.35">
      <c r="B114" s="39" t="s">
        <v>105</v>
      </c>
      <c r="C114" s="35">
        <v>111</v>
      </c>
      <c r="D114" s="19"/>
      <c r="E114" s="19">
        <v>1</v>
      </c>
      <c r="F114" s="3">
        <f t="shared" si="1"/>
        <v>1</v>
      </c>
    </row>
    <row r="115" spans="2:6" x14ac:dyDescent="0.35">
      <c r="B115" s="39" t="s">
        <v>106</v>
      </c>
      <c r="C115" s="35">
        <v>112</v>
      </c>
      <c r="D115" s="19"/>
      <c r="E115" s="19">
        <v>1</v>
      </c>
      <c r="F115" s="3">
        <f t="shared" si="1"/>
        <v>1</v>
      </c>
    </row>
    <row r="116" spans="2:6" x14ac:dyDescent="0.35">
      <c r="B116" s="39" t="s">
        <v>107</v>
      </c>
      <c r="C116" s="35">
        <v>113</v>
      </c>
      <c r="D116" s="19"/>
      <c r="E116" s="19">
        <v>1</v>
      </c>
      <c r="F116" s="3">
        <f t="shared" si="1"/>
        <v>1</v>
      </c>
    </row>
    <row r="117" spans="2:6" x14ac:dyDescent="0.35">
      <c r="B117" s="39" t="s">
        <v>108</v>
      </c>
      <c r="C117" s="35">
        <v>114</v>
      </c>
      <c r="D117" s="19"/>
      <c r="E117" s="19">
        <v>1</v>
      </c>
      <c r="F117" s="3">
        <f t="shared" si="1"/>
        <v>1</v>
      </c>
    </row>
    <row r="118" spans="2:6" x14ac:dyDescent="0.35">
      <c r="B118" s="39" t="s">
        <v>109</v>
      </c>
      <c r="C118" s="35">
        <v>115</v>
      </c>
      <c r="D118" s="19"/>
      <c r="E118" s="19">
        <v>1</v>
      </c>
      <c r="F118" s="3">
        <f t="shared" si="1"/>
        <v>1</v>
      </c>
    </row>
    <row r="119" spans="2:6" x14ac:dyDescent="0.35">
      <c r="B119" s="39" t="s">
        <v>110</v>
      </c>
      <c r="C119" s="35">
        <v>116</v>
      </c>
      <c r="D119" s="19"/>
      <c r="E119" s="19">
        <v>1</v>
      </c>
      <c r="F119" s="3">
        <f t="shared" si="1"/>
        <v>1</v>
      </c>
    </row>
    <row r="120" spans="2:6" x14ac:dyDescent="0.35">
      <c r="B120" s="39" t="s">
        <v>111</v>
      </c>
      <c r="C120" s="35">
        <v>117</v>
      </c>
      <c r="D120" s="19"/>
      <c r="E120" s="19">
        <v>1</v>
      </c>
      <c r="F120" s="3">
        <f t="shared" si="1"/>
        <v>1</v>
      </c>
    </row>
    <row r="121" spans="2:6" x14ac:dyDescent="0.35">
      <c r="B121" s="39" t="s">
        <v>112</v>
      </c>
      <c r="C121" s="35">
        <v>118</v>
      </c>
      <c r="D121" s="19"/>
      <c r="E121" s="19">
        <v>1</v>
      </c>
      <c r="F121" s="3">
        <f t="shared" si="1"/>
        <v>1</v>
      </c>
    </row>
    <row r="122" spans="2:6" x14ac:dyDescent="0.35">
      <c r="B122" s="39" t="s">
        <v>113</v>
      </c>
      <c r="C122" s="35">
        <v>119</v>
      </c>
      <c r="D122" s="19"/>
      <c r="E122" s="19">
        <v>1</v>
      </c>
      <c r="F122" s="3">
        <f t="shared" si="1"/>
        <v>1</v>
      </c>
    </row>
    <row r="123" spans="2:6" x14ac:dyDescent="0.35">
      <c r="B123" s="39" t="s">
        <v>114</v>
      </c>
      <c r="C123" s="35">
        <v>120</v>
      </c>
      <c r="D123" s="19"/>
      <c r="E123" s="19">
        <v>1</v>
      </c>
      <c r="F123" s="3">
        <f t="shared" si="1"/>
        <v>1</v>
      </c>
    </row>
    <row r="124" spans="2:6" x14ac:dyDescent="0.35">
      <c r="B124" s="39" t="s">
        <v>115</v>
      </c>
      <c r="C124" s="35">
        <v>121</v>
      </c>
      <c r="D124" s="19"/>
      <c r="E124" s="19">
        <v>1</v>
      </c>
      <c r="F124" s="3">
        <f t="shared" si="1"/>
        <v>1</v>
      </c>
    </row>
    <row r="125" spans="2:6" x14ac:dyDescent="0.35">
      <c r="B125" s="39" t="s">
        <v>116</v>
      </c>
      <c r="C125" s="35">
        <v>122</v>
      </c>
      <c r="D125" s="19"/>
      <c r="E125" s="19">
        <v>1</v>
      </c>
      <c r="F125" s="3">
        <f t="shared" si="1"/>
        <v>1</v>
      </c>
    </row>
    <row r="126" spans="2:6" ht="26" x14ac:dyDescent="0.35">
      <c r="B126" s="39" t="s">
        <v>117</v>
      </c>
      <c r="C126" s="35">
        <v>123</v>
      </c>
      <c r="D126" s="19"/>
      <c r="E126" s="19">
        <v>1</v>
      </c>
      <c r="F126" s="3">
        <f t="shared" si="1"/>
        <v>1</v>
      </c>
    </row>
    <row r="127" spans="2:6" x14ac:dyDescent="0.35">
      <c r="B127" s="39" t="s">
        <v>118</v>
      </c>
      <c r="C127" s="35">
        <v>124</v>
      </c>
      <c r="D127" s="19"/>
      <c r="E127" s="19">
        <v>1</v>
      </c>
      <c r="F127" s="3">
        <f t="shared" si="1"/>
        <v>1</v>
      </c>
    </row>
    <row r="128" spans="2:6" x14ac:dyDescent="0.35">
      <c r="B128" s="39" t="s">
        <v>119</v>
      </c>
      <c r="C128" s="35">
        <v>125</v>
      </c>
      <c r="D128" s="19"/>
      <c r="E128" s="19">
        <v>1</v>
      </c>
      <c r="F128" s="3">
        <f t="shared" si="1"/>
        <v>1</v>
      </c>
    </row>
    <row r="129" spans="2:6" x14ac:dyDescent="0.35">
      <c r="B129" s="39" t="s">
        <v>120</v>
      </c>
      <c r="C129" s="35">
        <v>126</v>
      </c>
      <c r="D129" s="19"/>
      <c r="E129" s="19">
        <v>1</v>
      </c>
      <c r="F129" s="3">
        <f t="shared" si="1"/>
        <v>1</v>
      </c>
    </row>
    <row r="130" spans="2:6" x14ac:dyDescent="0.35">
      <c r="B130" s="39" t="s">
        <v>121</v>
      </c>
      <c r="C130" s="35">
        <v>127</v>
      </c>
      <c r="D130" s="19"/>
      <c r="E130" s="19">
        <v>1</v>
      </c>
      <c r="F130" s="3">
        <f t="shared" si="1"/>
        <v>1</v>
      </c>
    </row>
    <row r="131" spans="2:6" x14ac:dyDescent="0.35">
      <c r="B131" s="39" t="s">
        <v>122</v>
      </c>
      <c r="C131" s="35">
        <v>128</v>
      </c>
      <c r="D131" s="19"/>
      <c r="E131" s="19">
        <v>1</v>
      </c>
      <c r="F131" s="3">
        <f t="shared" si="1"/>
        <v>1</v>
      </c>
    </row>
    <row r="132" spans="2:6" x14ac:dyDescent="0.35">
      <c r="B132" s="39" t="s">
        <v>123</v>
      </c>
      <c r="C132" s="35">
        <v>129</v>
      </c>
      <c r="D132" s="19"/>
      <c r="E132" s="19">
        <v>1</v>
      </c>
      <c r="F132" s="3">
        <f t="shared" si="1"/>
        <v>1</v>
      </c>
    </row>
    <row r="133" spans="2:6" x14ac:dyDescent="0.35">
      <c r="B133" s="39" t="s">
        <v>124</v>
      </c>
      <c r="C133" s="35">
        <v>130</v>
      </c>
      <c r="D133" s="19"/>
      <c r="E133" s="19">
        <v>1</v>
      </c>
      <c r="F133" s="3">
        <f t="shared" ref="F133:F163" si="2">SUM(D133:E133)</f>
        <v>1</v>
      </c>
    </row>
    <row r="134" spans="2:6" x14ac:dyDescent="0.35">
      <c r="B134" s="39" t="s">
        <v>125</v>
      </c>
      <c r="C134" s="35">
        <v>131</v>
      </c>
      <c r="D134" s="19"/>
      <c r="E134" s="19">
        <v>1</v>
      </c>
      <c r="F134" s="3">
        <f t="shared" si="2"/>
        <v>1</v>
      </c>
    </row>
    <row r="135" spans="2:6" x14ac:dyDescent="0.35">
      <c r="B135" s="39" t="s">
        <v>126</v>
      </c>
      <c r="C135" s="35">
        <v>132</v>
      </c>
      <c r="D135" s="19"/>
      <c r="E135" s="19">
        <v>1</v>
      </c>
      <c r="F135" s="3">
        <f t="shared" si="2"/>
        <v>1</v>
      </c>
    </row>
    <row r="136" spans="2:6" x14ac:dyDescent="0.35">
      <c r="B136" s="39" t="s">
        <v>127</v>
      </c>
      <c r="C136" s="35">
        <v>133</v>
      </c>
      <c r="D136" s="19"/>
      <c r="E136" s="19">
        <v>1</v>
      </c>
      <c r="F136" s="3">
        <f t="shared" si="2"/>
        <v>1</v>
      </c>
    </row>
    <row r="137" spans="2:6" x14ac:dyDescent="0.35">
      <c r="B137" s="39" t="s">
        <v>128</v>
      </c>
      <c r="C137" s="35">
        <v>134</v>
      </c>
      <c r="D137" s="19"/>
      <c r="E137" s="19">
        <v>1</v>
      </c>
      <c r="F137" s="3">
        <f t="shared" si="2"/>
        <v>1</v>
      </c>
    </row>
    <row r="138" spans="2:6" x14ac:dyDescent="0.35">
      <c r="B138" s="39" t="s">
        <v>129</v>
      </c>
      <c r="C138" s="35">
        <v>135</v>
      </c>
      <c r="D138" s="19"/>
      <c r="E138" s="19">
        <v>1</v>
      </c>
      <c r="F138" s="3">
        <f t="shared" si="2"/>
        <v>1</v>
      </c>
    </row>
    <row r="139" spans="2:6" x14ac:dyDescent="0.35">
      <c r="B139" s="39" t="s">
        <v>130</v>
      </c>
      <c r="C139" s="35">
        <v>136</v>
      </c>
      <c r="D139" s="19"/>
      <c r="E139" s="19">
        <v>1</v>
      </c>
      <c r="F139" s="3">
        <f t="shared" si="2"/>
        <v>1</v>
      </c>
    </row>
    <row r="140" spans="2:6" x14ac:dyDescent="0.35">
      <c r="B140" s="39" t="s">
        <v>131</v>
      </c>
      <c r="C140" s="35">
        <v>137</v>
      </c>
      <c r="D140" s="19"/>
      <c r="E140" s="19">
        <v>1</v>
      </c>
      <c r="F140" s="3">
        <f t="shared" si="2"/>
        <v>1</v>
      </c>
    </row>
    <row r="141" spans="2:6" x14ac:dyDescent="0.35">
      <c r="B141" s="39" t="s">
        <v>132</v>
      </c>
      <c r="C141" s="35">
        <v>138</v>
      </c>
      <c r="D141" s="19"/>
      <c r="E141" s="19">
        <v>1</v>
      </c>
      <c r="F141" s="3">
        <f t="shared" si="2"/>
        <v>1</v>
      </c>
    </row>
    <row r="142" spans="2:6" x14ac:dyDescent="0.35">
      <c r="B142" s="39" t="s">
        <v>133</v>
      </c>
      <c r="C142" s="35">
        <v>139</v>
      </c>
      <c r="D142" s="19"/>
      <c r="E142" s="19">
        <v>1</v>
      </c>
      <c r="F142" s="3">
        <f t="shared" si="2"/>
        <v>1</v>
      </c>
    </row>
    <row r="143" spans="2:6" x14ac:dyDescent="0.35">
      <c r="B143" s="39" t="s">
        <v>134</v>
      </c>
      <c r="C143" s="35">
        <v>140</v>
      </c>
      <c r="D143" s="19"/>
      <c r="E143" s="19">
        <v>1</v>
      </c>
      <c r="F143" s="3">
        <f t="shared" si="2"/>
        <v>1</v>
      </c>
    </row>
    <row r="144" spans="2:6" x14ac:dyDescent="0.35">
      <c r="B144" s="39" t="s">
        <v>135</v>
      </c>
      <c r="C144" s="35">
        <v>141</v>
      </c>
      <c r="D144" s="19"/>
      <c r="E144" s="19">
        <v>1</v>
      </c>
      <c r="F144" s="3">
        <f t="shared" si="2"/>
        <v>1</v>
      </c>
    </row>
    <row r="145" spans="2:6" x14ac:dyDescent="0.35">
      <c r="B145" s="39" t="s">
        <v>136</v>
      </c>
      <c r="C145" s="35">
        <v>142</v>
      </c>
      <c r="D145" s="19"/>
      <c r="E145" s="19">
        <v>1</v>
      </c>
      <c r="F145" s="3">
        <f t="shared" si="2"/>
        <v>1</v>
      </c>
    </row>
    <row r="146" spans="2:6" x14ac:dyDescent="0.35">
      <c r="B146" s="39" t="s">
        <v>137</v>
      </c>
      <c r="C146" s="35">
        <v>143</v>
      </c>
      <c r="D146" s="19"/>
      <c r="E146" s="19">
        <v>1</v>
      </c>
      <c r="F146" s="3">
        <f t="shared" si="2"/>
        <v>1</v>
      </c>
    </row>
    <row r="147" spans="2:6" x14ac:dyDescent="0.35">
      <c r="B147" s="39" t="s">
        <v>138</v>
      </c>
      <c r="C147" s="35">
        <v>144</v>
      </c>
      <c r="D147" s="19"/>
      <c r="E147" s="19">
        <v>1</v>
      </c>
      <c r="F147" s="3">
        <f t="shared" si="2"/>
        <v>1</v>
      </c>
    </row>
    <row r="148" spans="2:6" x14ac:dyDescent="0.35">
      <c r="B148" s="39" t="s">
        <v>139</v>
      </c>
      <c r="C148" s="35">
        <v>145</v>
      </c>
      <c r="D148" s="19"/>
      <c r="E148" s="19">
        <v>1</v>
      </c>
      <c r="F148" s="3">
        <f t="shared" si="2"/>
        <v>1</v>
      </c>
    </row>
    <row r="149" spans="2:6" x14ac:dyDescent="0.35">
      <c r="B149" s="39" t="s">
        <v>140</v>
      </c>
      <c r="C149" s="35">
        <v>146</v>
      </c>
      <c r="D149" s="19"/>
      <c r="E149" s="19">
        <v>1</v>
      </c>
      <c r="F149" s="3">
        <f t="shared" si="2"/>
        <v>1</v>
      </c>
    </row>
    <row r="150" spans="2:6" x14ac:dyDescent="0.35">
      <c r="B150" s="39" t="s">
        <v>141</v>
      </c>
      <c r="C150" s="35">
        <v>147</v>
      </c>
      <c r="D150" s="19"/>
      <c r="E150" s="19">
        <v>1</v>
      </c>
      <c r="F150" s="3">
        <f t="shared" si="2"/>
        <v>1</v>
      </c>
    </row>
    <row r="151" spans="2:6" x14ac:dyDescent="0.35">
      <c r="B151" s="39" t="s">
        <v>142</v>
      </c>
      <c r="C151" s="35">
        <v>148</v>
      </c>
      <c r="D151" s="19"/>
      <c r="E151" s="19">
        <v>1</v>
      </c>
      <c r="F151" s="3">
        <f t="shared" si="2"/>
        <v>1</v>
      </c>
    </row>
    <row r="152" spans="2:6" x14ac:dyDescent="0.35">
      <c r="B152" s="39" t="s">
        <v>143</v>
      </c>
      <c r="C152" s="35">
        <v>149</v>
      </c>
      <c r="D152" s="19"/>
      <c r="E152" s="19">
        <v>1</v>
      </c>
      <c r="F152" s="3">
        <f t="shared" si="2"/>
        <v>1</v>
      </c>
    </row>
    <row r="153" spans="2:6" x14ac:dyDescent="0.35">
      <c r="B153" s="39" t="s">
        <v>144</v>
      </c>
      <c r="C153" s="35">
        <v>150</v>
      </c>
      <c r="D153" s="19"/>
      <c r="E153" s="19">
        <v>1</v>
      </c>
      <c r="F153" s="3">
        <f t="shared" si="2"/>
        <v>1</v>
      </c>
    </row>
    <row r="154" spans="2:6" x14ac:dyDescent="0.35">
      <c r="B154" s="39" t="s">
        <v>145</v>
      </c>
      <c r="C154" s="35">
        <v>151</v>
      </c>
      <c r="D154" s="19"/>
      <c r="E154" s="19">
        <v>1</v>
      </c>
      <c r="F154" s="3">
        <f t="shared" si="2"/>
        <v>1</v>
      </c>
    </row>
    <row r="155" spans="2:6" x14ac:dyDescent="0.35">
      <c r="B155" s="39" t="s">
        <v>175</v>
      </c>
      <c r="C155" s="35">
        <v>152</v>
      </c>
      <c r="D155" s="19"/>
      <c r="E155" s="19">
        <v>1</v>
      </c>
      <c r="F155" s="3">
        <f t="shared" si="2"/>
        <v>1</v>
      </c>
    </row>
    <row r="156" spans="2:6" x14ac:dyDescent="0.35">
      <c r="B156" s="39" t="s">
        <v>147</v>
      </c>
      <c r="C156" s="35">
        <v>153</v>
      </c>
      <c r="D156" s="19"/>
      <c r="E156" s="19">
        <v>1</v>
      </c>
      <c r="F156" s="3">
        <f t="shared" si="2"/>
        <v>1</v>
      </c>
    </row>
    <row r="157" spans="2:6" x14ac:dyDescent="0.35">
      <c r="B157" s="39" t="s">
        <v>148</v>
      </c>
      <c r="C157" s="35">
        <v>154</v>
      </c>
      <c r="D157" s="19">
        <v>1</v>
      </c>
      <c r="E157" s="19"/>
      <c r="F157" s="3">
        <f t="shared" si="2"/>
        <v>1</v>
      </c>
    </row>
    <row r="158" spans="2:6" x14ac:dyDescent="0.35">
      <c r="B158" s="39" t="s">
        <v>149</v>
      </c>
      <c r="C158" s="35">
        <v>155</v>
      </c>
      <c r="D158" s="19"/>
      <c r="E158" s="19">
        <v>1</v>
      </c>
      <c r="F158" s="3">
        <f t="shared" si="2"/>
        <v>1</v>
      </c>
    </row>
    <row r="159" spans="2:6" x14ac:dyDescent="0.35">
      <c r="B159" s="39" t="s">
        <v>150</v>
      </c>
      <c r="C159" s="35">
        <v>156</v>
      </c>
      <c r="D159" s="19"/>
      <c r="E159" s="19">
        <v>1</v>
      </c>
      <c r="F159" s="3">
        <f t="shared" si="2"/>
        <v>1</v>
      </c>
    </row>
    <row r="160" spans="2:6" x14ac:dyDescent="0.35">
      <c r="B160" s="39" t="s">
        <v>151</v>
      </c>
      <c r="C160" s="35">
        <v>157</v>
      </c>
      <c r="D160" s="19">
        <v>1</v>
      </c>
      <c r="E160" s="19"/>
      <c r="F160" s="3">
        <f t="shared" si="2"/>
        <v>1</v>
      </c>
    </row>
    <row r="161" spans="2:6" x14ac:dyDescent="0.35">
      <c r="B161" s="39" t="s">
        <v>152</v>
      </c>
      <c r="C161" s="35">
        <v>158</v>
      </c>
      <c r="D161" s="19"/>
      <c r="E161" s="19">
        <v>1</v>
      </c>
      <c r="F161" s="3">
        <f t="shared" si="2"/>
        <v>1</v>
      </c>
    </row>
    <row r="162" spans="2:6" x14ac:dyDescent="0.35">
      <c r="B162" s="39" t="s">
        <v>153</v>
      </c>
      <c r="C162" s="35">
        <v>159</v>
      </c>
      <c r="D162" s="19"/>
      <c r="E162" s="19">
        <v>1</v>
      </c>
      <c r="F162" s="3">
        <f t="shared" si="2"/>
        <v>1</v>
      </c>
    </row>
    <row r="163" spans="2:6" x14ac:dyDescent="0.35">
      <c r="B163" s="39" t="s">
        <v>154</v>
      </c>
      <c r="C163" s="35">
        <v>160</v>
      </c>
      <c r="D163" s="19"/>
      <c r="E163" s="19">
        <v>1</v>
      </c>
      <c r="F163" s="3">
        <f t="shared" si="2"/>
        <v>1</v>
      </c>
    </row>
    <row r="164" spans="2:6" ht="15.5" x14ac:dyDescent="0.35">
      <c r="B164" s="2"/>
      <c r="C164" s="32"/>
    </row>
    <row r="165" spans="2:6" ht="15.5" x14ac:dyDescent="0.35">
      <c r="B165" s="2"/>
      <c r="C165" s="32"/>
      <c r="D165" s="22">
        <f>SUM(D4:D164)</f>
        <v>29</v>
      </c>
      <c r="E165" s="22">
        <f>SUM(E4:E164)</f>
        <v>131</v>
      </c>
      <c r="F165" s="3">
        <f>SUM(D165:E165)</f>
        <v>160</v>
      </c>
    </row>
    <row r="166" spans="2:6" ht="15.5" x14ac:dyDescent="0.35">
      <c r="B166" s="1"/>
      <c r="C166" s="33"/>
    </row>
    <row r="167" spans="2:6" ht="15.5" x14ac:dyDescent="0.35">
      <c r="B167" s="1"/>
      <c r="C167" s="33"/>
    </row>
    <row r="168" spans="2:6" ht="15.5" x14ac:dyDescent="0.35">
      <c r="B168" s="1"/>
      <c r="C168" s="33"/>
    </row>
    <row r="169" spans="2:6" ht="15.5" x14ac:dyDescent="0.35">
      <c r="B169" s="2"/>
      <c r="C169" s="32"/>
    </row>
    <row r="170" spans="2:6" ht="15.5" x14ac:dyDescent="0.35">
      <c r="B170" s="1"/>
      <c r="C170" s="33"/>
    </row>
    <row r="171" spans="2:6" ht="15.5" x14ac:dyDescent="0.35">
      <c r="B171" s="1"/>
      <c r="C171" s="33"/>
    </row>
    <row r="172" spans="2:6" ht="15.5" x14ac:dyDescent="0.35">
      <c r="B172" s="1"/>
      <c r="C172" s="33"/>
    </row>
    <row r="173" spans="2:6" ht="15.5" x14ac:dyDescent="0.35">
      <c r="B173" s="1"/>
      <c r="C173" s="33"/>
    </row>
    <row r="174" spans="2:6" ht="15.5" x14ac:dyDescent="0.35">
      <c r="B174" s="1"/>
      <c r="C174" s="33"/>
    </row>
    <row r="175" spans="2:6" ht="15.5" x14ac:dyDescent="0.35">
      <c r="B175" s="1"/>
      <c r="C175" s="33"/>
    </row>
    <row r="176" spans="2:6" ht="15.5" x14ac:dyDescent="0.35">
      <c r="B176" s="1"/>
      <c r="C176" s="33"/>
    </row>
    <row r="177" spans="2:3" ht="15.5" x14ac:dyDescent="0.35">
      <c r="B177" s="2"/>
      <c r="C177" s="32"/>
    </row>
    <row r="178" spans="2:3" ht="15.5" x14ac:dyDescent="0.35">
      <c r="B178" s="2"/>
      <c r="C178" s="32"/>
    </row>
    <row r="179" spans="2:3" ht="15.5" x14ac:dyDescent="0.35">
      <c r="B179" s="2"/>
      <c r="C179" s="32"/>
    </row>
    <row r="180" spans="2:3" ht="15.5" x14ac:dyDescent="0.35">
      <c r="B180" s="2"/>
      <c r="C180" s="32"/>
    </row>
    <row r="181" spans="2:3" ht="15.5" x14ac:dyDescent="0.35">
      <c r="B181" s="2"/>
      <c r="C181" s="32"/>
    </row>
    <row r="183" spans="2:3" ht="15.5" x14ac:dyDescent="0.35">
      <c r="B183" s="1"/>
      <c r="C183" s="33"/>
    </row>
    <row r="184" spans="2:3" ht="15.5" x14ac:dyDescent="0.35">
      <c r="B184" s="1"/>
      <c r="C184" s="33"/>
    </row>
    <row r="185" spans="2:3" ht="15.5" x14ac:dyDescent="0.35">
      <c r="B185" s="1"/>
      <c r="C185" s="33"/>
    </row>
    <row r="186" spans="2:3" ht="15.5" x14ac:dyDescent="0.35">
      <c r="B186" s="1"/>
      <c r="C186" s="33"/>
    </row>
    <row r="187" spans="2:3" ht="15.5" x14ac:dyDescent="0.35">
      <c r="B187" s="2"/>
      <c r="C187" s="32"/>
    </row>
    <row r="188" spans="2:3" ht="15.5" x14ac:dyDescent="0.35">
      <c r="B188" s="1"/>
      <c r="C188" s="33"/>
    </row>
    <row r="189" spans="2:3" ht="15.5" x14ac:dyDescent="0.35">
      <c r="B189" s="1"/>
      <c r="C189" s="33"/>
    </row>
    <row r="190" spans="2:3" ht="15.5" x14ac:dyDescent="0.35">
      <c r="B190" s="2"/>
      <c r="C190" s="32"/>
    </row>
    <row r="191" spans="2:3" ht="15.5" x14ac:dyDescent="0.35">
      <c r="B191" s="2"/>
      <c r="C191" s="32"/>
    </row>
    <row r="192" spans="2:3" ht="15.5" x14ac:dyDescent="0.35">
      <c r="B192" s="2"/>
      <c r="C192" s="32"/>
    </row>
    <row r="193" spans="2:3" ht="15.5" x14ac:dyDescent="0.35">
      <c r="B193" s="1"/>
      <c r="C193" s="33"/>
    </row>
    <row r="194" spans="2:3" ht="15.5" x14ac:dyDescent="0.35">
      <c r="B194" s="2"/>
      <c r="C194" s="32"/>
    </row>
    <row r="195" spans="2:3" ht="15.5" x14ac:dyDescent="0.35">
      <c r="B195" s="1"/>
      <c r="C195" s="33"/>
    </row>
    <row r="196" spans="2:3" ht="15.5" x14ac:dyDescent="0.35">
      <c r="B196" s="2"/>
      <c r="C196" s="32"/>
    </row>
    <row r="197" spans="2:3" ht="15.5" x14ac:dyDescent="0.35">
      <c r="B197" s="1"/>
      <c r="C197" s="33"/>
    </row>
    <row r="198" spans="2:3" ht="15.5" x14ac:dyDescent="0.35">
      <c r="B198" s="2"/>
      <c r="C198" s="32"/>
    </row>
    <row r="199" spans="2:3" ht="15.5" x14ac:dyDescent="0.35">
      <c r="B199" s="2"/>
      <c r="C199" s="32"/>
    </row>
    <row r="200" spans="2:3" ht="15.5" x14ac:dyDescent="0.35">
      <c r="B200" s="2"/>
      <c r="C200" s="32"/>
    </row>
    <row r="201" spans="2:3" ht="15.5" x14ac:dyDescent="0.35">
      <c r="B201" s="1"/>
      <c r="C201" s="33"/>
    </row>
    <row r="202" spans="2:3" ht="15.5" x14ac:dyDescent="0.35">
      <c r="B202" s="2"/>
      <c r="C202" s="32"/>
    </row>
    <row r="203" spans="2:3" ht="15.5" x14ac:dyDescent="0.35">
      <c r="B203" s="2"/>
      <c r="C203" s="32"/>
    </row>
    <row r="204" spans="2:3" ht="15.5" x14ac:dyDescent="0.35">
      <c r="B204" s="1"/>
      <c r="C204" s="33"/>
    </row>
    <row r="205" spans="2:3" ht="15.5" x14ac:dyDescent="0.35">
      <c r="B205" s="1"/>
      <c r="C205" s="33"/>
    </row>
    <row r="206" spans="2:3" ht="15.5" x14ac:dyDescent="0.35">
      <c r="B206" s="1"/>
      <c r="C206" s="33"/>
    </row>
    <row r="207" spans="2:3" ht="15.5" x14ac:dyDescent="0.35">
      <c r="B207" s="2"/>
      <c r="C207" s="32"/>
    </row>
    <row r="208" spans="2:3" ht="15.5" x14ac:dyDescent="0.35">
      <c r="B208" s="2"/>
      <c r="C208" s="32"/>
    </row>
    <row r="209" spans="2:3" ht="15.5" x14ac:dyDescent="0.35">
      <c r="B209" s="1"/>
      <c r="C209" s="33"/>
    </row>
    <row r="210" spans="2:3" ht="15.5" x14ac:dyDescent="0.35">
      <c r="B210" s="1"/>
      <c r="C210" s="33"/>
    </row>
    <row r="211" spans="2:3" ht="15.5" x14ac:dyDescent="0.35">
      <c r="B211" s="1"/>
      <c r="C211" s="33"/>
    </row>
    <row r="212" spans="2:3" ht="15.5" x14ac:dyDescent="0.35">
      <c r="B212" s="2"/>
      <c r="C212" s="32"/>
    </row>
    <row r="213" spans="2:3" ht="15.5" x14ac:dyDescent="0.35">
      <c r="B213" s="1"/>
      <c r="C213" s="33"/>
    </row>
    <row r="214" spans="2:3" ht="15.5" x14ac:dyDescent="0.35">
      <c r="B214" s="1"/>
      <c r="C214" s="33"/>
    </row>
    <row r="215" spans="2:3" ht="15.5" x14ac:dyDescent="0.35">
      <c r="B215" s="1"/>
      <c r="C215" s="33"/>
    </row>
    <row r="216" spans="2:3" ht="15.5" x14ac:dyDescent="0.35">
      <c r="B216" s="1"/>
      <c r="C216" s="33"/>
    </row>
    <row r="217" spans="2:3" ht="15.5" x14ac:dyDescent="0.35">
      <c r="B217" s="2"/>
      <c r="C217" s="32"/>
    </row>
    <row r="218" spans="2:3" ht="15.5" x14ac:dyDescent="0.35">
      <c r="B218" s="1"/>
      <c r="C218" s="33"/>
    </row>
    <row r="219" spans="2:3" ht="15.5" x14ac:dyDescent="0.35">
      <c r="B219" s="1"/>
      <c r="C219" s="33"/>
    </row>
    <row r="220" spans="2:3" ht="15.5" x14ac:dyDescent="0.35">
      <c r="B220" s="1"/>
      <c r="C220" s="33"/>
    </row>
    <row r="221" spans="2:3" ht="15.5" x14ac:dyDescent="0.35">
      <c r="B221" s="1"/>
      <c r="C221" s="33"/>
    </row>
    <row r="222" spans="2:3" ht="15.5" x14ac:dyDescent="0.35">
      <c r="B222" s="1"/>
      <c r="C222" s="3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224"/>
  <sheetViews>
    <sheetView tabSelected="1" topLeftCell="B1" workbookViewId="0">
      <selection activeCell="F167" sqref="F167"/>
    </sheetView>
  </sheetViews>
  <sheetFormatPr defaultRowHeight="14.5" x14ac:dyDescent="0.35"/>
  <cols>
    <col min="1" max="1" width="4.7265625" customWidth="1"/>
    <col min="2" max="2" width="78.81640625" style="34" customWidth="1"/>
    <col min="3" max="4" width="9.1796875" style="3"/>
    <col min="7" max="7" width="11.1796875" customWidth="1"/>
  </cols>
  <sheetData>
    <row r="3" spans="2:9" s="3" customFormat="1" x14ac:dyDescent="0.35">
      <c r="B3" s="30"/>
      <c r="C3" s="4"/>
      <c r="D3" s="5" t="s">
        <v>156</v>
      </c>
      <c r="E3" s="17" t="s">
        <v>155</v>
      </c>
      <c r="F3" s="6" t="s">
        <v>157</v>
      </c>
      <c r="G3" s="8" t="s">
        <v>158</v>
      </c>
      <c r="H3" s="10" t="s">
        <v>159</v>
      </c>
      <c r="I3" s="13" t="s">
        <v>162</v>
      </c>
    </row>
    <row r="4" spans="2:9" x14ac:dyDescent="0.35">
      <c r="B4" s="31" t="s">
        <v>0</v>
      </c>
      <c r="C4" s="26">
        <v>1</v>
      </c>
      <c r="D4" s="5">
        <f>IF(Ответы!E4=1,1,0)</f>
        <v>0</v>
      </c>
      <c r="E4" s="18"/>
      <c r="F4" s="7"/>
      <c r="G4" s="9"/>
      <c r="H4" s="11"/>
      <c r="I4" s="15"/>
    </row>
    <row r="5" spans="2:9" x14ac:dyDescent="0.35">
      <c r="B5" s="31" t="s">
        <v>171</v>
      </c>
      <c r="C5" s="26">
        <v>2</v>
      </c>
      <c r="D5" s="5">
        <f>IF(Ответы!D5=1,1,0)</f>
        <v>1</v>
      </c>
      <c r="E5" s="18"/>
      <c r="F5" s="7"/>
      <c r="G5" s="9"/>
      <c r="H5" s="11"/>
      <c r="I5" s="15"/>
    </row>
    <row r="6" spans="2:9" x14ac:dyDescent="0.35">
      <c r="B6" s="31" t="s">
        <v>1</v>
      </c>
      <c r="C6" s="4">
        <v>3</v>
      </c>
      <c r="D6" s="5"/>
      <c r="E6" s="18"/>
      <c r="F6" s="6">
        <f>IF(Ответы!D6=1,1,0)</f>
        <v>0</v>
      </c>
      <c r="G6" s="9"/>
      <c r="H6" s="11"/>
      <c r="I6" s="15"/>
    </row>
    <row r="7" spans="2:9" x14ac:dyDescent="0.35">
      <c r="B7" s="31" t="s">
        <v>2</v>
      </c>
      <c r="C7" s="4">
        <v>4</v>
      </c>
      <c r="D7" s="5"/>
      <c r="E7" s="17">
        <f>IF(Ответы!D7=1,1,0)</f>
        <v>0</v>
      </c>
      <c r="F7" s="6"/>
      <c r="G7" s="8">
        <f>IF(Ответы!D7=1,1,0)</f>
        <v>0</v>
      </c>
      <c r="H7" s="11"/>
      <c r="I7" s="13">
        <f>IF(Ответы!D7=1,1,0)</f>
        <v>0</v>
      </c>
    </row>
    <row r="8" spans="2:9" x14ac:dyDescent="0.35">
      <c r="B8" s="31" t="s">
        <v>3</v>
      </c>
      <c r="C8" s="4">
        <v>5</v>
      </c>
      <c r="D8" s="5"/>
      <c r="E8" s="18"/>
      <c r="F8" s="6">
        <f>IF(Ответы!D8=1,1,0)</f>
        <v>0</v>
      </c>
      <c r="G8" s="9"/>
      <c r="H8" s="11"/>
      <c r="I8" s="15"/>
    </row>
    <row r="9" spans="2:9" x14ac:dyDescent="0.35">
      <c r="B9" s="31" t="s">
        <v>4</v>
      </c>
      <c r="C9" s="26">
        <v>6</v>
      </c>
      <c r="D9" s="5">
        <f>IF(Ответы!E9=1,1,0)</f>
        <v>0</v>
      </c>
      <c r="E9" s="18"/>
      <c r="F9" s="7"/>
      <c r="G9" s="9"/>
      <c r="H9" s="11"/>
      <c r="I9" s="15"/>
    </row>
    <row r="10" spans="2:9" x14ac:dyDescent="0.35">
      <c r="B10" s="31" t="s">
        <v>5</v>
      </c>
      <c r="C10" s="4">
        <v>7</v>
      </c>
      <c r="D10" s="5"/>
      <c r="E10" s="18"/>
      <c r="F10" s="6">
        <f>IF(Ответы!D10=1,1,0)</f>
        <v>0</v>
      </c>
      <c r="G10" s="9"/>
      <c r="H10" s="11"/>
      <c r="I10" s="15"/>
    </row>
    <row r="11" spans="2:9" x14ac:dyDescent="0.35">
      <c r="B11" s="31" t="s">
        <v>6</v>
      </c>
      <c r="C11" s="4">
        <v>8</v>
      </c>
      <c r="D11" s="5"/>
      <c r="E11" s="18"/>
      <c r="F11" s="7"/>
      <c r="G11" s="9"/>
      <c r="H11" s="11"/>
      <c r="I11" s="13">
        <f>IF(Ответы!D11=1,1,0)</f>
        <v>0</v>
      </c>
    </row>
    <row r="12" spans="2:9" x14ac:dyDescent="0.35">
      <c r="B12" s="31" t="s">
        <v>7</v>
      </c>
      <c r="C12" s="4">
        <v>9</v>
      </c>
      <c r="D12" s="5"/>
      <c r="E12" s="18"/>
      <c r="F12" s="6">
        <f>IF(Ответы!D12=1,1,0)</f>
        <v>0</v>
      </c>
      <c r="G12" s="9"/>
      <c r="H12" s="11"/>
      <c r="I12" s="15"/>
    </row>
    <row r="13" spans="2:9" x14ac:dyDescent="0.35">
      <c r="B13" s="31" t="s">
        <v>8</v>
      </c>
      <c r="C13" s="4">
        <v>10</v>
      </c>
      <c r="D13" s="5"/>
      <c r="E13" s="18"/>
      <c r="F13" s="6">
        <f>IF(Ответы!D13=1,1,0)</f>
        <v>0</v>
      </c>
      <c r="G13" s="9"/>
      <c r="H13" s="11"/>
      <c r="I13" s="13">
        <f>IF(Ответы!D13=1,1,0)</f>
        <v>0</v>
      </c>
    </row>
    <row r="14" spans="2:9" x14ac:dyDescent="0.35">
      <c r="B14" s="31" t="s">
        <v>9</v>
      </c>
      <c r="C14" s="26">
        <v>11</v>
      </c>
      <c r="D14" s="5">
        <f>IF(Ответы!E14=1,1,0)</f>
        <v>0</v>
      </c>
      <c r="E14" s="18"/>
      <c r="F14" s="7"/>
      <c r="G14" s="9"/>
      <c r="H14" s="11"/>
      <c r="I14" s="15"/>
    </row>
    <row r="15" spans="2:9" x14ac:dyDescent="0.35">
      <c r="B15" s="31" t="s">
        <v>10</v>
      </c>
      <c r="C15" s="4">
        <v>12</v>
      </c>
      <c r="D15" s="5"/>
      <c r="E15" s="18"/>
      <c r="F15" s="6">
        <f>IF(Ответы!D15=1,1,0)</f>
        <v>0</v>
      </c>
      <c r="G15" s="9"/>
      <c r="H15" s="11"/>
      <c r="I15" s="15"/>
    </row>
    <row r="16" spans="2:9" x14ac:dyDescent="0.35">
      <c r="B16" s="31" t="s">
        <v>11</v>
      </c>
      <c r="C16" s="4">
        <v>13</v>
      </c>
      <c r="D16" s="5"/>
      <c r="E16" s="18"/>
      <c r="F16" s="6">
        <f>IF(Ответы!D16=1,1,0)</f>
        <v>0</v>
      </c>
      <c r="G16" s="9"/>
      <c r="H16" s="11"/>
      <c r="I16" s="15"/>
    </row>
    <row r="17" spans="2:9" x14ac:dyDescent="0.35">
      <c r="B17" s="31" t="s">
        <v>12</v>
      </c>
      <c r="C17" s="4">
        <v>14</v>
      </c>
      <c r="D17" s="5"/>
      <c r="E17" s="18"/>
      <c r="F17" s="6">
        <f>IF(Ответы!D17=1,1,0)</f>
        <v>0</v>
      </c>
      <c r="G17" s="9"/>
      <c r="H17" s="11"/>
      <c r="I17" s="15"/>
    </row>
    <row r="18" spans="2:9" x14ac:dyDescent="0.35">
      <c r="B18" s="31" t="s">
        <v>13</v>
      </c>
      <c r="C18" s="4">
        <v>15</v>
      </c>
      <c r="D18" s="5"/>
      <c r="E18" s="18"/>
      <c r="F18" s="7"/>
      <c r="G18" s="9"/>
      <c r="H18" s="11"/>
      <c r="I18" s="13">
        <f>IF(Ответы!D18=1,1,0)</f>
        <v>0</v>
      </c>
    </row>
    <row r="19" spans="2:9" x14ac:dyDescent="0.35">
      <c r="B19" s="31" t="s">
        <v>14</v>
      </c>
      <c r="C19" s="4">
        <v>16</v>
      </c>
      <c r="D19" s="5"/>
      <c r="E19" s="18"/>
      <c r="F19" s="6">
        <f>IF(Ответы!D19=1,1,0)</f>
        <v>0</v>
      </c>
      <c r="G19" s="9"/>
      <c r="H19" s="11"/>
      <c r="I19" s="15"/>
    </row>
    <row r="20" spans="2:9" x14ac:dyDescent="0.35">
      <c r="B20" s="31" t="s">
        <v>15</v>
      </c>
      <c r="C20" s="4">
        <v>17</v>
      </c>
      <c r="D20" s="5"/>
      <c r="E20" s="18"/>
      <c r="F20" s="6">
        <f>IF(Ответы!D20=1,1,0)</f>
        <v>0</v>
      </c>
      <c r="G20" s="9"/>
      <c r="H20" s="11"/>
      <c r="I20" s="15"/>
    </row>
    <row r="21" spans="2:9" x14ac:dyDescent="0.35">
      <c r="B21" s="31" t="s">
        <v>16</v>
      </c>
      <c r="C21" s="26">
        <v>18</v>
      </c>
      <c r="D21" s="5">
        <f>IF(Ответы!E21=1,1,0)</f>
        <v>0</v>
      </c>
      <c r="E21" s="18"/>
      <c r="F21" s="7"/>
      <c r="G21" s="9"/>
      <c r="H21" s="11"/>
      <c r="I21" s="15"/>
    </row>
    <row r="22" spans="2:9" x14ac:dyDescent="0.35">
      <c r="B22" s="31" t="s">
        <v>17</v>
      </c>
      <c r="C22" s="26">
        <v>19</v>
      </c>
      <c r="D22" s="5">
        <f>IF(Ответы!E22=1,1,0)</f>
        <v>0</v>
      </c>
      <c r="E22" s="18"/>
      <c r="F22" s="7"/>
      <c r="G22" s="9"/>
      <c r="H22" s="11"/>
      <c r="I22" s="15"/>
    </row>
    <row r="23" spans="2:9" x14ac:dyDescent="0.35">
      <c r="B23" s="31" t="s">
        <v>18</v>
      </c>
      <c r="C23" s="4">
        <v>20</v>
      </c>
      <c r="D23" s="5"/>
      <c r="E23" s="17">
        <f>IF(Ответы!D23=1,1,0)</f>
        <v>0</v>
      </c>
      <c r="F23" s="6">
        <f>IF(Ответы!D23=1,1,0)</f>
        <v>0</v>
      </c>
      <c r="G23" s="9"/>
      <c r="H23" s="11"/>
      <c r="I23" s="13">
        <f>IF(Ответы!D23=1,1,0)</f>
        <v>0</v>
      </c>
    </row>
    <row r="24" spans="2:9" x14ac:dyDescent="0.35">
      <c r="B24" s="31" t="s">
        <v>19</v>
      </c>
      <c r="C24" s="4">
        <v>21</v>
      </c>
      <c r="D24" s="5"/>
      <c r="E24" s="18"/>
      <c r="F24" s="6">
        <f>IF(Ответы!D24=1,1,0)</f>
        <v>0</v>
      </c>
      <c r="G24" s="9"/>
      <c r="H24" s="11"/>
      <c r="I24" s="15"/>
    </row>
    <row r="25" spans="2:9" x14ac:dyDescent="0.35">
      <c r="B25" s="31" t="s">
        <v>20</v>
      </c>
      <c r="C25" s="4">
        <v>22</v>
      </c>
      <c r="D25" s="5"/>
      <c r="E25" s="18"/>
      <c r="F25" s="7"/>
      <c r="G25" s="9"/>
      <c r="H25" s="11"/>
      <c r="I25" s="13">
        <f>IF(Ответы!D25=1,1,0)</f>
        <v>0</v>
      </c>
    </row>
    <row r="26" spans="2:9" x14ac:dyDescent="0.35">
      <c r="B26" s="31" t="s">
        <v>21</v>
      </c>
      <c r="C26" s="26">
        <v>23</v>
      </c>
      <c r="D26" s="5">
        <f>IF(Ответы!E26=1,1,0)</f>
        <v>0</v>
      </c>
      <c r="E26" s="18"/>
      <c r="F26" s="6"/>
      <c r="G26" s="9"/>
      <c r="H26" s="11"/>
      <c r="I26" s="15"/>
    </row>
    <row r="27" spans="2:9" x14ac:dyDescent="0.35">
      <c r="B27" s="31" t="s">
        <v>22</v>
      </c>
      <c r="C27" s="4">
        <v>24</v>
      </c>
      <c r="D27" s="5"/>
      <c r="E27" s="18"/>
      <c r="F27" s="6">
        <f>IF(Ответы!D27=1,1,0)</f>
        <v>0</v>
      </c>
      <c r="G27" s="9"/>
      <c r="H27" s="11"/>
      <c r="I27" s="15"/>
    </row>
    <row r="28" spans="2:9" x14ac:dyDescent="0.35">
      <c r="B28" s="31" t="s">
        <v>23</v>
      </c>
      <c r="C28" s="4">
        <v>25</v>
      </c>
      <c r="D28" s="5"/>
      <c r="E28" s="18"/>
      <c r="F28" s="7"/>
      <c r="G28" s="9"/>
      <c r="H28" s="11"/>
      <c r="I28" s="13">
        <f>IF(Ответы!D28=1,1,0)</f>
        <v>0</v>
      </c>
    </row>
    <row r="29" spans="2:9" x14ac:dyDescent="0.35">
      <c r="B29" s="31" t="s">
        <v>172</v>
      </c>
      <c r="C29" s="26">
        <v>26</v>
      </c>
      <c r="D29" s="5">
        <f>IF(Ответы!E29=1,1,0)</f>
        <v>0</v>
      </c>
      <c r="E29" s="18"/>
      <c r="F29" s="7"/>
      <c r="G29" s="9"/>
      <c r="H29" s="11"/>
      <c r="I29" s="15"/>
    </row>
    <row r="30" spans="2:9" x14ac:dyDescent="0.35">
      <c r="B30" s="31" t="s">
        <v>24</v>
      </c>
      <c r="C30" s="26">
        <v>27</v>
      </c>
      <c r="D30" s="5">
        <f>IF(Ответы!E30=1,1,0)</f>
        <v>0</v>
      </c>
      <c r="E30" s="18"/>
      <c r="F30" s="7"/>
      <c r="G30" s="9"/>
      <c r="H30" s="11"/>
      <c r="I30" s="15"/>
    </row>
    <row r="31" spans="2:9" x14ac:dyDescent="0.35">
      <c r="B31" s="31" t="s">
        <v>25</v>
      </c>
      <c r="C31" s="4">
        <v>28</v>
      </c>
      <c r="D31" s="5"/>
      <c r="E31" s="18"/>
      <c r="F31" s="6">
        <f>IF(Ответы!D31=1,1,0)</f>
        <v>0</v>
      </c>
      <c r="G31" s="9"/>
      <c r="H31" s="11"/>
      <c r="I31" s="15"/>
    </row>
    <row r="32" spans="2:9" x14ac:dyDescent="0.35">
      <c r="B32" s="31" t="s">
        <v>26</v>
      </c>
      <c r="C32" s="4">
        <v>29</v>
      </c>
      <c r="D32" s="5"/>
      <c r="E32" s="18"/>
      <c r="F32" s="6">
        <f>IF(Ответы!D32=1,1,0)</f>
        <v>0</v>
      </c>
      <c r="G32" s="9"/>
      <c r="H32" s="11"/>
      <c r="I32" s="15"/>
    </row>
    <row r="33" spans="2:9" x14ac:dyDescent="0.35">
      <c r="B33" s="31" t="s">
        <v>27</v>
      </c>
      <c r="C33" s="4">
        <v>30</v>
      </c>
      <c r="D33" s="5"/>
      <c r="E33" s="17">
        <f>IF(Ответы!D33=1,1,0)</f>
        <v>0</v>
      </c>
      <c r="F33" s="7"/>
      <c r="G33" s="9"/>
      <c r="H33" s="11"/>
      <c r="I33" s="13">
        <f>IF(Ответы!D33=1,1,0)</f>
        <v>0</v>
      </c>
    </row>
    <row r="34" spans="2:9" x14ac:dyDescent="0.35">
      <c r="B34" s="31" t="s">
        <v>169</v>
      </c>
      <c r="C34" s="26">
        <v>31</v>
      </c>
      <c r="D34" s="5">
        <f>IF(Ответы!D34=1,1,0)</f>
        <v>1</v>
      </c>
      <c r="E34" s="18"/>
      <c r="F34" s="7"/>
      <c r="G34" s="9"/>
      <c r="H34" s="11"/>
      <c r="I34" s="15"/>
    </row>
    <row r="35" spans="2:9" x14ac:dyDescent="0.35">
      <c r="B35" s="31" t="s">
        <v>28</v>
      </c>
      <c r="C35" s="4">
        <v>32</v>
      </c>
      <c r="D35" s="5"/>
      <c r="E35" s="18"/>
      <c r="F35" s="6">
        <f>IF(Ответы!D35=1,1,0)</f>
        <v>0</v>
      </c>
      <c r="G35" s="9"/>
      <c r="H35" s="11"/>
      <c r="I35" s="13">
        <f>IF(Ответы!D35=1,1,0)</f>
        <v>0</v>
      </c>
    </row>
    <row r="36" spans="2:9" x14ac:dyDescent="0.35">
      <c r="B36" s="31" t="s">
        <v>29</v>
      </c>
      <c r="C36" s="4">
        <v>33</v>
      </c>
      <c r="D36" s="5"/>
      <c r="E36" s="18"/>
      <c r="F36" s="6">
        <f>IF(Ответы!D36=1,1,0)</f>
        <v>0</v>
      </c>
      <c r="G36" s="9"/>
      <c r="H36" s="11"/>
      <c r="I36" s="13">
        <f>IF(Ответы!D36=1,1,0)</f>
        <v>0</v>
      </c>
    </row>
    <row r="37" spans="2:9" x14ac:dyDescent="0.35">
      <c r="B37" s="31" t="s">
        <v>30</v>
      </c>
      <c r="C37" s="26">
        <v>34</v>
      </c>
      <c r="D37" s="5">
        <f>IF(Ответы!E37=1,1,0)</f>
        <v>0</v>
      </c>
      <c r="E37" s="18"/>
      <c r="F37" s="7"/>
      <c r="G37" s="9"/>
      <c r="H37" s="11"/>
      <c r="I37" s="15"/>
    </row>
    <row r="38" spans="2:9" x14ac:dyDescent="0.35">
      <c r="B38" s="31" t="s">
        <v>31</v>
      </c>
      <c r="C38" s="4">
        <v>35</v>
      </c>
      <c r="D38" s="5"/>
      <c r="E38" s="18"/>
      <c r="F38" s="7"/>
      <c r="G38" s="9"/>
      <c r="H38" s="11"/>
      <c r="I38" s="16">
        <f>IF(Ответы!E38=1,1,0)</f>
        <v>0</v>
      </c>
    </row>
    <row r="39" spans="2:9" x14ac:dyDescent="0.35">
      <c r="B39" s="31" t="s">
        <v>32</v>
      </c>
      <c r="C39" s="4">
        <v>36</v>
      </c>
      <c r="D39" s="5"/>
      <c r="E39" s="17">
        <f>IF(Ответы!D39=1,1,0)</f>
        <v>0</v>
      </c>
      <c r="F39" s="6">
        <f>IF(Ответы!D39=1,1,0)</f>
        <v>0</v>
      </c>
      <c r="G39" s="9"/>
      <c r="H39" s="11"/>
      <c r="I39" s="13">
        <f>IF(Ответы!D39=1,1,0)</f>
        <v>0</v>
      </c>
    </row>
    <row r="40" spans="2:9" x14ac:dyDescent="0.35">
      <c r="B40" s="31" t="s">
        <v>33</v>
      </c>
      <c r="C40" s="4">
        <v>37</v>
      </c>
      <c r="D40" s="5"/>
      <c r="E40" s="18"/>
      <c r="F40" s="6">
        <f>IF(Ответы!D40=1,1,0)</f>
        <v>0</v>
      </c>
      <c r="G40" s="9"/>
      <c r="H40" s="11"/>
      <c r="I40" s="13">
        <f>IF(Ответы!D40=1,1,0)</f>
        <v>0</v>
      </c>
    </row>
    <row r="41" spans="2:9" x14ac:dyDescent="0.35">
      <c r="B41" s="31" t="s">
        <v>34</v>
      </c>
      <c r="C41" s="4">
        <v>38</v>
      </c>
      <c r="D41" s="5"/>
      <c r="E41" s="18"/>
      <c r="F41" s="7"/>
      <c r="G41" s="9"/>
      <c r="H41" s="11"/>
      <c r="I41" s="13">
        <f>IF(Ответы!D41=1,1,0)</f>
        <v>0</v>
      </c>
    </row>
    <row r="42" spans="2:9" x14ac:dyDescent="0.35">
      <c r="B42" s="31" t="s">
        <v>35</v>
      </c>
      <c r="C42" s="26">
        <v>39</v>
      </c>
      <c r="D42" s="5">
        <f>IF(Ответы!E42=1,1,0)</f>
        <v>0</v>
      </c>
      <c r="E42" s="18"/>
      <c r="F42" s="7"/>
      <c r="G42" s="9"/>
      <c r="H42" s="11"/>
      <c r="I42" s="15"/>
    </row>
    <row r="43" spans="2:9" x14ac:dyDescent="0.35">
      <c r="B43" s="31" t="s">
        <v>36</v>
      </c>
      <c r="C43" s="4">
        <v>40</v>
      </c>
      <c r="D43" s="5"/>
      <c r="E43" s="18"/>
      <c r="F43" s="7"/>
      <c r="G43" s="8">
        <f>IF(Ответы!D43=1,1,0)</f>
        <v>0</v>
      </c>
      <c r="H43" s="11"/>
      <c r="I43" s="15"/>
    </row>
    <row r="44" spans="2:9" x14ac:dyDescent="0.35">
      <c r="B44" s="31" t="s">
        <v>37</v>
      </c>
      <c r="C44" s="4">
        <v>41</v>
      </c>
      <c r="D44" s="5"/>
      <c r="E44" s="18"/>
      <c r="F44" s="7"/>
      <c r="G44" s="8">
        <f>IF(Ответы!D44=1,1,0)</f>
        <v>0</v>
      </c>
      <c r="H44" s="11"/>
      <c r="I44" s="15"/>
    </row>
    <row r="45" spans="2:9" x14ac:dyDescent="0.35">
      <c r="B45" s="31" t="s">
        <v>38</v>
      </c>
      <c r="C45" s="4">
        <v>42</v>
      </c>
      <c r="D45" s="5"/>
      <c r="E45" s="18"/>
      <c r="F45" s="7"/>
      <c r="G45" s="9"/>
      <c r="H45" s="11"/>
      <c r="I45" s="16">
        <f>IF(Ответы!E45=1,1,0)</f>
        <v>0</v>
      </c>
    </row>
    <row r="46" spans="2:9" x14ac:dyDescent="0.35">
      <c r="B46" s="31" t="s">
        <v>39</v>
      </c>
      <c r="C46" s="4">
        <v>43</v>
      </c>
      <c r="D46" s="5"/>
      <c r="E46" s="18"/>
      <c r="F46" s="7"/>
      <c r="G46" s="9"/>
      <c r="H46" s="11"/>
      <c r="I46" s="16">
        <f>IF(Ответы!E46=1,1,0)</f>
        <v>0</v>
      </c>
    </row>
    <row r="47" spans="2:9" x14ac:dyDescent="0.35">
      <c r="B47" s="31" t="s">
        <v>40</v>
      </c>
      <c r="C47" s="4">
        <v>44</v>
      </c>
      <c r="D47" s="5"/>
      <c r="E47" s="18"/>
      <c r="F47" s="7"/>
      <c r="G47" s="8">
        <f>IF(Ответы!D47=1,1,0)</f>
        <v>0</v>
      </c>
      <c r="H47" s="11"/>
      <c r="I47" s="15"/>
    </row>
    <row r="48" spans="2:9" x14ac:dyDescent="0.35">
      <c r="B48" s="31" t="s">
        <v>41</v>
      </c>
      <c r="C48" s="4">
        <v>45</v>
      </c>
      <c r="D48" s="5"/>
      <c r="E48" s="18"/>
      <c r="F48" s="7"/>
      <c r="G48" s="8">
        <f>IF(Ответы!D48=1,1,0)</f>
        <v>0</v>
      </c>
      <c r="H48" s="11"/>
      <c r="I48" s="15"/>
    </row>
    <row r="49" spans="2:9" x14ac:dyDescent="0.35">
      <c r="B49" s="31" t="s">
        <v>42</v>
      </c>
      <c r="C49" s="26">
        <v>46</v>
      </c>
      <c r="D49" s="5">
        <f>IF(Ответы!E49=1,1,0)</f>
        <v>0</v>
      </c>
      <c r="E49" s="18"/>
      <c r="F49" s="7"/>
      <c r="G49" s="9"/>
      <c r="H49" s="11"/>
      <c r="I49" s="15"/>
    </row>
    <row r="50" spans="2:9" x14ac:dyDescent="0.35">
      <c r="B50" s="31" t="s">
        <v>43</v>
      </c>
      <c r="C50" s="4">
        <v>47</v>
      </c>
      <c r="D50" s="5"/>
      <c r="E50" s="18"/>
      <c r="F50" s="7"/>
      <c r="G50" s="9"/>
      <c r="H50" s="11"/>
      <c r="I50" s="13">
        <f>IF(Ответы!D50=1,1,0)</f>
        <v>0</v>
      </c>
    </row>
    <row r="51" spans="2:9" x14ac:dyDescent="0.35">
      <c r="B51" s="31" t="s">
        <v>44</v>
      </c>
      <c r="C51" s="4">
        <v>48</v>
      </c>
      <c r="D51" s="5"/>
      <c r="E51" s="18"/>
      <c r="F51" s="7"/>
      <c r="G51" s="8">
        <f>IF(Ответы!D51=1,1,0)</f>
        <v>1</v>
      </c>
      <c r="H51" s="11"/>
      <c r="I51" s="15"/>
    </row>
    <row r="52" spans="2:9" x14ac:dyDescent="0.35">
      <c r="B52" s="31" t="s">
        <v>45</v>
      </c>
      <c r="C52" s="4">
        <v>49</v>
      </c>
      <c r="D52" s="5"/>
      <c r="E52" s="18"/>
      <c r="F52" s="7"/>
      <c r="G52" s="8">
        <f>IF(Ответы!D52=1,1,0)</f>
        <v>0</v>
      </c>
      <c r="H52" s="11"/>
      <c r="I52" s="15"/>
    </row>
    <row r="53" spans="2:9" x14ac:dyDescent="0.35">
      <c r="B53" s="31" t="s">
        <v>46</v>
      </c>
      <c r="C53" s="4">
        <v>50</v>
      </c>
      <c r="D53" s="5"/>
      <c r="E53" s="17">
        <f>IF(Ответы!D53=1,1,0)</f>
        <v>0</v>
      </c>
      <c r="F53" s="7"/>
      <c r="G53" s="9"/>
      <c r="H53" s="11"/>
      <c r="I53" s="13">
        <f>IF(Ответы!D53=1,1,0)</f>
        <v>0</v>
      </c>
    </row>
    <row r="54" spans="2:9" x14ac:dyDescent="0.35">
      <c r="B54" s="31" t="s">
        <v>47</v>
      </c>
      <c r="C54" s="4">
        <v>51</v>
      </c>
      <c r="D54" s="5"/>
      <c r="E54" s="18"/>
      <c r="F54" s="7"/>
      <c r="G54" s="9"/>
      <c r="H54" s="11"/>
      <c r="I54" s="13">
        <f>IF(Ответы!D54=1,1,0)</f>
        <v>0</v>
      </c>
    </row>
    <row r="55" spans="2:9" x14ac:dyDescent="0.35">
      <c r="B55" s="31" t="s">
        <v>48</v>
      </c>
      <c r="C55" s="4">
        <v>52</v>
      </c>
      <c r="D55" s="5"/>
      <c r="E55" s="18"/>
      <c r="F55" s="7"/>
      <c r="G55" s="8">
        <f>IF(Ответы!D55=1,1,0)</f>
        <v>0</v>
      </c>
      <c r="H55" s="11"/>
      <c r="I55" s="15"/>
    </row>
    <row r="56" spans="2:9" x14ac:dyDescent="0.35">
      <c r="B56" s="31" t="s">
        <v>49</v>
      </c>
      <c r="C56" s="4">
        <v>53</v>
      </c>
      <c r="D56" s="5"/>
      <c r="E56" s="18"/>
      <c r="F56" s="7"/>
      <c r="G56" s="8">
        <f>IF(Ответы!D56=1,1,0)</f>
        <v>0</v>
      </c>
      <c r="H56" s="11"/>
      <c r="I56" s="15"/>
    </row>
    <row r="57" spans="2:9" x14ac:dyDescent="0.35">
      <c r="B57" s="31" t="s">
        <v>50</v>
      </c>
      <c r="C57" s="4">
        <v>54</v>
      </c>
      <c r="D57" s="5"/>
      <c r="E57" s="18"/>
      <c r="F57" s="7"/>
      <c r="G57" s="9"/>
      <c r="H57" s="11"/>
      <c r="I57" s="15"/>
    </row>
    <row r="58" spans="2:9" x14ac:dyDescent="0.35">
      <c r="B58" s="31" t="s">
        <v>176</v>
      </c>
      <c r="C58" s="26">
        <v>55</v>
      </c>
      <c r="D58" s="5">
        <f>IF(Ответы!E58=1,1,0)</f>
        <v>0</v>
      </c>
      <c r="E58" s="18"/>
      <c r="F58" s="7"/>
      <c r="G58" s="9"/>
      <c r="H58" s="11"/>
      <c r="I58" s="15"/>
    </row>
    <row r="59" spans="2:9" x14ac:dyDescent="0.35">
      <c r="B59" s="31" t="s">
        <v>51</v>
      </c>
      <c r="C59" s="4">
        <v>56</v>
      </c>
      <c r="D59" s="5"/>
      <c r="E59" s="18"/>
      <c r="F59" s="7"/>
      <c r="G59" s="8">
        <f>IF(Ответы!D59=1,1,0)</f>
        <v>0</v>
      </c>
      <c r="H59" s="11"/>
      <c r="I59" s="15"/>
    </row>
    <row r="60" spans="2:9" x14ac:dyDescent="0.35">
      <c r="B60" s="31" t="s">
        <v>52</v>
      </c>
      <c r="C60" s="4">
        <v>57</v>
      </c>
      <c r="D60" s="5"/>
      <c r="E60" s="18"/>
      <c r="F60" s="7"/>
      <c r="G60" s="8">
        <f>IF(Ответы!D60=1,1,0)</f>
        <v>0</v>
      </c>
      <c r="H60" s="11"/>
      <c r="I60" s="15"/>
    </row>
    <row r="61" spans="2:9" x14ac:dyDescent="0.35">
      <c r="B61" s="31" t="s">
        <v>53</v>
      </c>
      <c r="C61" s="4">
        <v>58</v>
      </c>
      <c r="D61" s="5"/>
      <c r="E61" s="18"/>
      <c r="F61" s="7"/>
      <c r="G61" s="9"/>
      <c r="H61" s="11"/>
      <c r="I61" s="13">
        <f>IF(Ответы!D61=1,1,0)</f>
        <v>0</v>
      </c>
    </row>
    <row r="62" spans="2:9" x14ac:dyDescent="0.35">
      <c r="B62" s="31" t="s">
        <v>54</v>
      </c>
      <c r="C62" s="4">
        <v>59</v>
      </c>
      <c r="D62" s="5"/>
      <c r="E62" s="18"/>
      <c r="F62" s="7"/>
      <c r="G62" s="9"/>
      <c r="H62" s="11"/>
      <c r="I62" s="15"/>
    </row>
    <row r="63" spans="2:9" x14ac:dyDescent="0.35">
      <c r="B63" s="31" t="s">
        <v>55</v>
      </c>
      <c r="C63" s="4">
        <v>60</v>
      </c>
      <c r="D63" s="5"/>
      <c r="E63" s="18"/>
      <c r="F63" s="7"/>
      <c r="G63" s="8">
        <f>IF(Ответы!D63=1,1,0)</f>
        <v>0</v>
      </c>
      <c r="H63" s="11"/>
      <c r="I63" s="13">
        <f>IF(Ответы!D63=1,1,0)</f>
        <v>0</v>
      </c>
    </row>
    <row r="64" spans="2:9" x14ac:dyDescent="0.35">
      <c r="B64" s="31" t="s">
        <v>56</v>
      </c>
      <c r="C64" s="4">
        <v>61</v>
      </c>
      <c r="D64" s="5"/>
      <c r="E64" s="18"/>
      <c r="F64" s="7"/>
      <c r="G64" s="8"/>
      <c r="H64" s="11"/>
      <c r="I64" s="15"/>
    </row>
    <row r="65" spans="2:9" x14ac:dyDescent="0.35">
      <c r="B65" s="31" t="s">
        <v>57</v>
      </c>
      <c r="C65" s="26">
        <v>62</v>
      </c>
      <c r="D65" s="5">
        <f>IF(Ответы!E65=1,1,0)</f>
        <v>1</v>
      </c>
      <c r="E65" s="18"/>
      <c r="F65" s="7"/>
      <c r="G65" s="9"/>
      <c r="H65" s="11"/>
      <c r="I65" s="15"/>
    </row>
    <row r="66" spans="2:9" x14ac:dyDescent="0.35">
      <c r="B66" s="31" t="s">
        <v>58</v>
      </c>
      <c r="C66" s="4">
        <v>63</v>
      </c>
      <c r="D66" s="5"/>
      <c r="E66" s="18"/>
      <c r="F66" s="7"/>
      <c r="G66" s="9"/>
      <c r="H66" s="11"/>
      <c r="I66" s="13">
        <f>IF(Ответы!D66=1,1,0)</f>
        <v>1</v>
      </c>
    </row>
    <row r="67" spans="2:9" x14ac:dyDescent="0.35">
      <c r="B67" s="31" t="s">
        <v>59</v>
      </c>
      <c r="C67" s="4">
        <v>64</v>
      </c>
      <c r="D67" s="5"/>
      <c r="E67" s="18"/>
      <c r="F67" s="7"/>
      <c r="G67" s="8">
        <f>IF(Ответы!D67=1,1,0)</f>
        <v>0</v>
      </c>
      <c r="H67" s="11"/>
      <c r="I67" s="15"/>
    </row>
    <row r="68" spans="2:9" x14ac:dyDescent="0.35">
      <c r="B68" s="31" t="s">
        <v>60</v>
      </c>
      <c r="C68" s="4">
        <v>65</v>
      </c>
      <c r="D68" s="5"/>
      <c r="E68" s="18"/>
      <c r="F68" s="7"/>
      <c r="G68" s="8">
        <f>IF(Ответы!D68=1,1,0)</f>
        <v>0</v>
      </c>
      <c r="H68" s="11"/>
      <c r="I68" s="15"/>
    </row>
    <row r="69" spans="2:9" x14ac:dyDescent="0.35">
      <c r="B69" s="31" t="s">
        <v>61</v>
      </c>
      <c r="C69" s="26">
        <v>66</v>
      </c>
      <c r="D69" s="5">
        <f>IF(Ответы!E69=1,1,0)</f>
        <v>1</v>
      </c>
      <c r="E69" s="18"/>
      <c r="F69" s="7"/>
      <c r="G69" s="9"/>
      <c r="H69" s="11"/>
      <c r="I69" s="15"/>
    </row>
    <row r="70" spans="2:9" x14ac:dyDescent="0.35">
      <c r="B70" s="31" t="s">
        <v>62</v>
      </c>
      <c r="C70" s="4">
        <v>67</v>
      </c>
      <c r="D70" s="5"/>
      <c r="E70" s="18"/>
      <c r="F70" s="7"/>
      <c r="G70" s="9"/>
      <c r="H70" s="11"/>
      <c r="I70" s="13">
        <f>IF(Ответы!D67=1,1,0)</f>
        <v>0</v>
      </c>
    </row>
    <row r="71" spans="2:9" x14ac:dyDescent="0.35">
      <c r="B71" s="31" t="s">
        <v>63</v>
      </c>
      <c r="C71" s="4">
        <v>68</v>
      </c>
      <c r="D71" s="5"/>
      <c r="E71" s="18"/>
      <c r="F71" s="7"/>
      <c r="G71" s="8">
        <f>IF(Ответы!D71=1,1,0)</f>
        <v>0</v>
      </c>
      <c r="H71" s="11"/>
      <c r="I71" s="15"/>
    </row>
    <row r="72" spans="2:9" x14ac:dyDescent="0.35">
      <c r="B72" s="31" t="s">
        <v>64</v>
      </c>
      <c r="C72" s="27">
        <v>69</v>
      </c>
      <c r="D72" s="5"/>
      <c r="E72" s="18"/>
      <c r="F72" s="7"/>
      <c r="G72" s="8">
        <f>IF(Ответы!D72=1,1,0)</f>
        <v>0</v>
      </c>
      <c r="H72" s="11"/>
      <c r="I72" s="15"/>
    </row>
    <row r="73" spans="2:9" x14ac:dyDescent="0.35">
      <c r="B73" s="31" t="s">
        <v>170</v>
      </c>
      <c r="C73" s="4">
        <v>70</v>
      </c>
      <c r="D73" s="5"/>
      <c r="E73" s="18"/>
      <c r="F73" s="7"/>
      <c r="G73" s="9"/>
      <c r="H73" s="11"/>
      <c r="I73" s="15"/>
    </row>
    <row r="74" spans="2:9" x14ac:dyDescent="0.35">
      <c r="B74" s="31" t="s">
        <v>65</v>
      </c>
      <c r="C74" s="4">
        <v>71</v>
      </c>
      <c r="D74" s="5"/>
      <c r="E74" s="18"/>
      <c r="F74" s="7"/>
      <c r="G74" s="9"/>
      <c r="H74" s="11"/>
      <c r="I74" s="16">
        <f>IF(Ответы!E74=1,1,0)</f>
        <v>0</v>
      </c>
    </row>
    <row r="75" spans="2:9" x14ac:dyDescent="0.35">
      <c r="B75" s="31" t="s">
        <v>66</v>
      </c>
      <c r="C75" s="4">
        <v>72</v>
      </c>
      <c r="D75" s="5"/>
      <c r="E75" s="18"/>
      <c r="F75" s="7"/>
      <c r="G75" s="8">
        <f>IF(Ответы!D75=1,1,0)</f>
        <v>0</v>
      </c>
      <c r="H75" s="11"/>
      <c r="I75" s="15"/>
    </row>
    <row r="76" spans="2:9" x14ac:dyDescent="0.35">
      <c r="B76" s="31" t="s">
        <v>67</v>
      </c>
      <c r="C76" s="4">
        <v>73</v>
      </c>
      <c r="D76" s="5"/>
      <c r="E76" s="18"/>
      <c r="F76" s="7"/>
      <c r="G76" s="8">
        <f>IF(Ответы!D76=1,1,0)</f>
        <v>0</v>
      </c>
      <c r="H76" s="11"/>
      <c r="I76" s="15"/>
    </row>
    <row r="77" spans="2:9" x14ac:dyDescent="0.35">
      <c r="B77" s="31" t="s">
        <v>68</v>
      </c>
      <c r="C77" s="4">
        <v>74</v>
      </c>
      <c r="D77" s="5"/>
      <c r="E77" s="18"/>
      <c r="F77" s="7"/>
      <c r="G77" s="9"/>
      <c r="H77" s="11"/>
      <c r="I77" s="13">
        <f>IF(Ответы!D77=1,1,0)</f>
        <v>0</v>
      </c>
    </row>
    <row r="78" spans="2:9" x14ac:dyDescent="0.35">
      <c r="B78" s="31" t="s">
        <v>69</v>
      </c>
      <c r="C78" s="4">
        <v>75</v>
      </c>
      <c r="D78" s="5"/>
      <c r="E78" s="17">
        <f>IF(Ответы!D78=1,1,0)</f>
        <v>0</v>
      </c>
      <c r="F78" s="7"/>
      <c r="G78" s="9"/>
      <c r="H78" s="11"/>
      <c r="I78" s="13">
        <f>IF(Ответы!D78=1,1,0)</f>
        <v>0</v>
      </c>
    </row>
    <row r="79" spans="2:9" x14ac:dyDescent="0.35">
      <c r="B79" s="31" t="s">
        <v>70</v>
      </c>
      <c r="C79" s="4">
        <v>76</v>
      </c>
      <c r="D79" s="5"/>
      <c r="E79" s="18"/>
      <c r="F79" s="7"/>
      <c r="G79" s="8">
        <f>IF(Ответы!D79=1,1,0)</f>
        <v>0</v>
      </c>
      <c r="H79" s="11"/>
      <c r="I79" s="15"/>
    </row>
    <row r="80" spans="2:9" x14ac:dyDescent="0.35">
      <c r="B80" s="31" t="s">
        <v>71</v>
      </c>
      <c r="C80" s="4">
        <v>77</v>
      </c>
      <c r="D80" s="5"/>
      <c r="E80" s="18"/>
      <c r="F80" s="7"/>
      <c r="G80" s="8">
        <f>IF(Ответы!D80=1,1,0)</f>
        <v>0</v>
      </c>
      <c r="H80" s="11"/>
      <c r="I80" s="15"/>
    </row>
    <row r="81" spans="2:9" x14ac:dyDescent="0.35">
      <c r="B81" s="31" t="s">
        <v>72</v>
      </c>
      <c r="C81" s="4">
        <v>78</v>
      </c>
      <c r="D81" s="5"/>
      <c r="E81" s="18"/>
      <c r="F81" s="7"/>
      <c r="G81" s="9"/>
      <c r="H81" s="11"/>
      <c r="I81" s="15"/>
    </row>
    <row r="82" spans="2:9" x14ac:dyDescent="0.35">
      <c r="B82" s="31" t="s">
        <v>73</v>
      </c>
      <c r="C82" s="26">
        <v>79</v>
      </c>
      <c r="D82" s="5">
        <f>IF(Ответы!E82=1,1,0)</f>
        <v>0</v>
      </c>
      <c r="E82" s="18"/>
      <c r="F82" s="7"/>
      <c r="G82" s="9"/>
      <c r="H82" s="11"/>
      <c r="I82" s="15"/>
    </row>
    <row r="83" spans="2:9" x14ac:dyDescent="0.35">
      <c r="B83" s="31" t="s">
        <v>74</v>
      </c>
      <c r="C83" s="4">
        <v>80</v>
      </c>
      <c r="D83" s="5"/>
      <c r="E83" s="18"/>
      <c r="F83" s="7"/>
      <c r="G83" s="8">
        <f>IF(Ответы!D83=1,1,0)</f>
        <v>0</v>
      </c>
      <c r="H83" s="11"/>
      <c r="I83" s="15"/>
    </row>
    <row r="84" spans="2:9" x14ac:dyDescent="0.35">
      <c r="B84" s="31" t="s">
        <v>75</v>
      </c>
      <c r="C84" s="4">
        <v>81</v>
      </c>
      <c r="D84" s="5"/>
      <c r="E84" s="18"/>
      <c r="F84" s="7"/>
      <c r="G84" s="8">
        <f>IF(Ответы!D84=1,1,0)</f>
        <v>0</v>
      </c>
      <c r="H84" s="11"/>
      <c r="I84" s="15"/>
    </row>
    <row r="85" spans="2:9" x14ac:dyDescent="0.35">
      <c r="B85" s="31" t="s">
        <v>76</v>
      </c>
      <c r="C85" s="4">
        <v>82</v>
      </c>
      <c r="D85" s="5"/>
      <c r="E85" s="17">
        <f>IF(Ответы!D85=1,1,0)</f>
        <v>0</v>
      </c>
      <c r="F85" s="7"/>
      <c r="G85" s="9"/>
      <c r="H85" s="11"/>
      <c r="I85" s="13">
        <f>IF(Ответы!D85=1,1,0)</f>
        <v>0</v>
      </c>
    </row>
    <row r="86" spans="2:9" x14ac:dyDescent="0.35">
      <c r="B86" s="31" t="s">
        <v>77</v>
      </c>
      <c r="C86" s="4">
        <v>83</v>
      </c>
      <c r="D86" s="5"/>
      <c r="E86" s="17">
        <f>IF(Ответы!D86=1,1,0)</f>
        <v>0</v>
      </c>
      <c r="F86" s="7"/>
      <c r="G86" s="9"/>
      <c r="H86" s="11"/>
      <c r="I86" s="13">
        <f>IF(Ответы!D86=1,1,0)</f>
        <v>0</v>
      </c>
    </row>
    <row r="87" spans="2:9" x14ac:dyDescent="0.35">
      <c r="B87" s="31" t="s">
        <v>78</v>
      </c>
      <c r="C87" s="4">
        <v>84</v>
      </c>
      <c r="D87" s="5"/>
      <c r="E87" s="18"/>
      <c r="F87" s="7"/>
      <c r="G87" s="8">
        <f>IF(Ответы!D87=1,1,0)</f>
        <v>0</v>
      </c>
      <c r="H87" s="11"/>
      <c r="I87" s="15"/>
    </row>
    <row r="88" spans="2:9" x14ac:dyDescent="0.35">
      <c r="B88" s="31" t="s">
        <v>79</v>
      </c>
      <c r="C88" s="4">
        <v>85</v>
      </c>
      <c r="D88" s="5"/>
      <c r="E88" s="18"/>
      <c r="F88" s="7"/>
      <c r="G88" s="8">
        <f>IF(Ответы!D88=1,1,0)</f>
        <v>0</v>
      </c>
      <c r="H88" s="11"/>
      <c r="I88" s="15"/>
    </row>
    <row r="89" spans="2:9" x14ac:dyDescent="0.35">
      <c r="B89" s="31" t="s">
        <v>80</v>
      </c>
      <c r="C89" s="4">
        <v>86</v>
      </c>
      <c r="D89" s="5"/>
      <c r="E89" s="18"/>
      <c r="F89" s="7"/>
      <c r="G89" s="9"/>
      <c r="H89" s="11"/>
      <c r="I89" s="13">
        <f>IF(Ответы!D89=1,1,0)</f>
        <v>0</v>
      </c>
    </row>
    <row r="90" spans="2:9" x14ac:dyDescent="0.35">
      <c r="B90" s="31" t="s">
        <v>81</v>
      </c>
      <c r="C90" s="4">
        <v>87</v>
      </c>
      <c r="D90" s="5"/>
      <c r="E90" s="17">
        <f>IF(Ответы!D90=1,1,0)</f>
        <v>0</v>
      </c>
      <c r="F90" s="7"/>
      <c r="G90" s="9"/>
      <c r="H90" s="11"/>
      <c r="I90" s="13">
        <f>IF(Ответы!D90=1,1,0)</f>
        <v>0</v>
      </c>
    </row>
    <row r="91" spans="2:9" x14ac:dyDescent="0.35">
      <c r="B91" s="31" t="s">
        <v>82</v>
      </c>
      <c r="C91" s="4">
        <v>88</v>
      </c>
      <c r="D91" s="5"/>
      <c r="E91" s="18"/>
      <c r="F91" s="7"/>
      <c r="G91" s="8">
        <f>IF(Ответы!D91=1,1,0)</f>
        <v>0</v>
      </c>
      <c r="H91" s="11"/>
      <c r="I91" s="15"/>
    </row>
    <row r="92" spans="2:9" x14ac:dyDescent="0.35">
      <c r="B92" s="31" t="s">
        <v>83</v>
      </c>
      <c r="C92" s="4">
        <v>89</v>
      </c>
      <c r="D92" s="5"/>
      <c r="E92" s="18"/>
      <c r="F92" s="7"/>
      <c r="G92" s="8">
        <f>IF(Ответы!D92=1,1,0)</f>
        <v>0</v>
      </c>
      <c r="H92" s="11"/>
      <c r="I92" s="15"/>
    </row>
    <row r="93" spans="2:9" x14ac:dyDescent="0.35">
      <c r="B93" s="31" t="s">
        <v>84</v>
      </c>
      <c r="C93" s="4">
        <v>90</v>
      </c>
      <c r="D93" s="5"/>
      <c r="E93" s="18"/>
      <c r="F93" s="7"/>
      <c r="G93" s="9"/>
      <c r="H93" s="11"/>
      <c r="I93" s="15"/>
    </row>
    <row r="94" spans="2:9" x14ac:dyDescent="0.35">
      <c r="B94" s="31" t="s">
        <v>85</v>
      </c>
      <c r="C94" s="4">
        <v>91</v>
      </c>
      <c r="D94" s="5"/>
      <c r="E94" s="18"/>
      <c r="F94" s="7"/>
      <c r="G94" s="9"/>
      <c r="H94" s="11"/>
      <c r="I94" s="13">
        <f>IF(Ответы!D94=1,1,0)</f>
        <v>0</v>
      </c>
    </row>
    <row r="95" spans="2:9" x14ac:dyDescent="0.35">
      <c r="B95" s="31" t="s">
        <v>86</v>
      </c>
      <c r="C95" s="4">
        <v>92</v>
      </c>
      <c r="D95" s="5"/>
      <c r="E95" s="18"/>
      <c r="F95" s="7"/>
      <c r="G95" s="8">
        <f>IF(Ответы!D95=1,1,0)</f>
        <v>0</v>
      </c>
      <c r="H95" s="11"/>
      <c r="I95" s="15"/>
    </row>
    <row r="96" spans="2:9" x14ac:dyDescent="0.35">
      <c r="B96" s="31" t="s">
        <v>87</v>
      </c>
      <c r="C96" s="4">
        <v>93</v>
      </c>
      <c r="D96" s="5"/>
      <c r="E96" s="18"/>
      <c r="F96" s="7"/>
      <c r="G96" s="8">
        <f>IF(Ответы!D96=1,1,0)</f>
        <v>0</v>
      </c>
      <c r="H96" s="11"/>
      <c r="I96" s="15"/>
    </row>
    <row r="97" spans="2:9" x14ac:dyDescent="0.35">
      <c r="B97" s="31" t="s">
        <v>88</v>
      </c>
      <c r="C97" s="4">
        <v>94</v>
      </c>
      <c r="D97" s="5"/>
      <c r="E97" s="17">
        <f>IF(Ответы!D97=1,1,0)</f>
        <v>0</v>
      </c>
      <c r="F97" s="7"/>
      <c r="G97" s="9"/>
      <c r="H97" s="11"/>
      <c r="I97" s="13">
        <f>IF(Ответы!D97=1,1,0)</f>
        <v>0</v>
      </c>
    </row>
    <row r="98" spans="2:9" x14ac:dyDescent="0.35">
      <c r="B98" s="31" t="s">
        <v>89</v>
      </c>
      <c r="C98" s="4">
        <v>95</v>
      </c>
      <c r="D98" s="5"/>
      <c r="E98" s="18"/>
      <c r="F98" s="7"/>
      <c r="G98" s="9"/>
      <c r="H98" s="11"/>
      <c r="I98" s="13">
        <f>IF(Ответы!D98=1,1,0)</f>
        <v>0</v>
      </c>
    </row>
    <row r="99" spans="2:9" x14ac:dyDescent="0.35">
      <c r="B99" s="31" t="s">
        <v>90</v>
      </c>
      <c r="C99" s="4">
        <v>96</v>
      </c>
      <c r="D99" s="5"/>
      <c r="E99" s="18"/>
      <c r="F99" s="7"/>
      <c r="G99" s="8">
        <f>IF(Ответы!D99=1,1,0)</f>
        <v>0</v>
      </c>
      <c r="H99" s="11"/>
      <c r="I99" s="15"/>
    </row>
    <row r="100" spans="2:9" x14ac:dyDescent="0.35">
      <c r="B100" s="31" t="s">
        <v>91</v>
      </c>
      <c r="C100" s="4">
        <v>97</v>
      </c>
      <c r="D100" s="5"/>
      <c r="E100" s="18"/>
      <c r="F100" s="7"/>
      <c r="G100" s="8">
        <f>IF(Ответы!D100=1,1,0)</f>
        <v>0</v>
      </c>
      <c r="H100" s="11"/>
      <c r="I100" s="15"/>
    </row>
    <row r="101" spans="2:9" x14ac:dyDescent="0.35">
      <c r="B101" s="31" t="s">
        <v>92</v>
      </c>
      <c r="C101" s="4">
        <v>98</v>
      </c>
      <c r="D101" s="5"/>
      <c r="E101" s="18"/>
      <c r="F101" s="7"/>
      <c r="G101" s="9"/>
      <c r="H101" s="11"/>
      <c r="I101" s="13">
        <f>IF(Ответы!D101=1,1,0)</f>
        <v>0</v>
      </c>
    </row>
    <row r="102" spans="2:9" x14ac:dyDescent="0.35">
      <c r="B102" s="31" t="s">
        <v>93</v>
      </c>
      <c r="C102" s="4">
        <v>99</v>
      </c>
      <c r="D102" s="5"/>
      <c r="E102" s="18"/>
      <c r="F102" s="7"/>
      <c r="G102" s="9"/>
      <c r="H102" s="11"/>
      <c r="I102" s="15"/>
    </row>
    <row r="103" spans="2:9" x14ac:dyDescent="0.35">
      <c r="B103" s="31" t="s">
        <v>94</v>
      </c>
      <c r="C103" s="4">
        <v>100</v>
      </c>
      <c r="D103" s="5"/>
      <c r="E103" s="18"/>
      <c r="F103" s="7"/>
      <c r="G103" s="9"/>
      <c r="H103" s="10">
        <f>IF(Ответы!D103=1,1,0)</f>
        <v>0</v>
      </c>
      <c r="I103" s="15"/>
    </row>
    <row r="104" spans="2:9" x14ac:dyDescent="0.35">
      <c r="B104" s="31" t="s">
        <v>95</v>
      </c>
      <c r="C104" s="4">
        <v>101</v>
      </c>
      <c r="D104" s="5"/>
      <c r="E104" s="18"/>
      <c r="F104" s="7"/>
      <c r="G104" s="9"/>
      <c r="H104" s="10">
        <f>IF(Ответы!D104=1,1,0)</f>
        <v>0</v>
      </c>
      <c r="I104" s="15"/>
    </row>
    <row r="105" spans="2:9" x14ac:dyDescent="0.35">
      <c r="B105" s="31" t="s">
        <v>96</v>
      </c>
      <c r="C105" s="4">
        <v>102</v>
      </c>
      <c r="D105" s="5"/>
      <c r="E105" s="18"/>
      <c r="F105" s="7"/>
      <c r="G105" s="9"/>
      <c r="H105" s="11"/>
      <c r="I105" s="13">
        <f>IF(Ответы!D105=1,1,0)</f>
        <v>0</v>
      </c>
    </row>
    <row r="106" spans="2:9" x14ac:dyDescent="0.35">
      <c r="B106" s="31" t="s">
        <v>97</v>
      </c>
      <c r="C106" s="4">
        <v>103</v>
      </c>
      <c r="D106" s="5"/>
      <c r="E106" s="18"/>
      <c r="F106" s="7"/>
      <c r="G106" s="9"/>
      <c r="H106" s="11"/>
      <c r="I106" s="13">
        <f>IF(Ответы!D106=1,1,0)</f>
        <v>0</v>
      </c>
    </row>
    <row r="107" spans="2:9" x14ac:dyDescent="0.35">
      <c r="B107" s="31" t="s">
        <v>98</v>
      </c>
      <c r="C107" s="4">
        <v>104</v>
      </c>
      <c r="D107" s="5"/>
      <c r="E107" s="18"/>
      <c r="F107" s="7"/>
      <c r="G107" s="9"/>
      <c r="H107" s="10">
        <f>IF(Ответы!D107=1,1,0)</f>
        <v>1</v>
      </c>
      <c r="I107" s="15"/>
    </row>
    <row r="108" spans="2:9" x14ac:dyDescent="0.35">
      <c r="B108" s="31" t="s">
        <v>99</v>
      </c>
      <c r="C108" s="4">
        <v>105</v>
      </c>
      <c r="D108" s="5"/>
      <c r="E108" s="18"/>
      <c r="F108" s="7"/>
      <c r="G108" s="9"/>
      <c r="H108" s="10">
        <f>IF(Ответы!D108=1,1,0)</f>
        <v>0</v>
      </c>
      <c r="I108" s="15"/>
    </row>
    <row r="109" spans="2:9" x14ac:dyDescent="0.35">
      <c r="B109" s="31" t="s">
        <v>100</v>
      </c>
      <c r="C109" s="4">
        <v>106</v>
      </c>
      <c r="D109" s="5"/>
      <c r="E109" s="18"/>
      <c r="F109" s="7"/>
      <c r="G109" s="9"/>
      <c r="H109" s="11"/>
      <c r="I109" s="13">
        <f>IF(Ответы!D109=1,1,0)</f>
        <v>0</v>
      </c>
    </row>
    <row r="110" spans="2:9" x14ac:dyDescent="0.35">
      <c r="B110" s="31" t="s">
        <v>101</v>
      </c>
      <c r="C110" s="4">
        <v>107</v>
      </c>
      <c r="D110" s="5"/>
      <c r="E110" s="18"/>
      <c r="F110" s="7"/>
      <c r="G110" s="9"/>
      <c r="H110" s="11"/>
      <c r="I110" s="13">
        <f>IF(Ответы!D110=1,1,0)</f>
        <v>0</v>
      </c>
    </row>
    <row r="111" spans="2:9" x14ac:dyDescent="0.35">
      <c r="B111" s="31" t="s">
        <v>102</v>
      </c>
      <c r="C111" s="4">
        <v>108</v>
      </c>
      <c r="D111" s="5"/>
      <c r="E111" s="18"/>
      <c r="F111" s="7"/>
      <c r="G111" s="9"/>
      <c r="H111" s="10">
        <f>IF(Ответы!D111=1,1,0)</f>
        <v>0</v>
      </c>
      <c r="I111" s="15"/>
    </row>
    <row r="112" spans="2:9" x14ac:dyDescent="0.35">
      <c r="B112" s="31" t="s">
        <v>103</v>
      </c>
      <c r="C112" s="4">
        <v>109</v>
      </c>
      <c r="D112" s="5"/>
      <c r="E112" s="18"/>
      <c r="F112" s="7"/>
      <c r="G112" s="9"/>
      <c r="H112" s="10">
        <f>IF(Ответы!D112=1,1,0)</f>
        <v>0</v>
      </c>
      <c r="I112" s="15"/>
    </row>
    <row r="113" spans="2:9" x14ac:dyDescent="0.35">
      <c r="B113" s="31" t="s">
        <v>104</v>
      </c>
      <c r="C113" s="4">
        <v>110</v>
      </c>
      <c r="D113" s="5"/>
      <c r="E113" s="18"/>
      <c r="F113" s="7"/>
      <c r="G113" s="9"/>
      <c r="H113" s="11"/>
      <c r="I113" s="16">
        <f>IF(Ответы!E113=1,1,0)</f>
        <v>0</v>
      </c>
    </row>
    <row r="114" spans="2:9" x14ac:dyDescent="0.35">
      <c r="B114" s="31" t="s">
        <v>105</v>
      </c>
      <c r="C114" s="4">
        <v>111</v>
      </c>
      <c r="D114" s="5"/>
      <c r="E114" s="18"/>
      <c r="F114" s="7"/>
      <c r="G114" s="9"/>
      <c r="H114" s="11"/>
      <c r="I114" s="13">
        <f>IF(Ответы!D114=1,1,0)</f>
        <v>0</v>
      </c>
    </row>
    <row r="115" spans="2:9" x14ac:dyDescent="0.35">
      <c r="B115" s="31" t="s">
        <v>106</v>
      </c>
      <c r="C115" s="4">
        <v>112</v>
      </c>
      <c r="D115" s="5"/>
      <c r="E115" s="18"/>
      <c r="F115" s="7"/>
      <c r="G115" s="9"/>
      <c r="H115" s="10">
        <f>IF(Ответы!D115=1,1,0)</f>
        <v>0</v>
      </c>
      <c r="I115" s="15"/>
    </row>
    <row r="116" spans="2:9" x14ac:dyDescent="0.35">
      <c r="B116" s="31" t="s">
        <v>107</v>
      </c>
      <c r="C116" s="4">
        <v>113</v>
      </c>
      <c r="D116" s="5"/>
      <c r="E116" s="18"/>
      <c r="F116" s="7"/>
      <c r="G116" s="9"/>
      <c r="H116" s="10">
        <f>IF(Ответы!D116=1,1,0)</f>
        <v>0</v>
      </c>
      <c r="I116" s="15"/>
    </row>
    <row r="117" spans="2:9" x14ac:dyDescent="0.35">
      <c r="B117" s="31" t="s">
        <v>108</v>
      </c>
      <c r="C117" s="4">
        <v>114</v>
      </c>
      <c r="D117" s="5"/>
      <c r="E117" s="18"/>
      <c r="F117" s="7"/>
      <c r="G117" s="9"/>
      <c r="H117" s="11"/>
      <c r="I117" s="13">
        <f>IF(Ответы!D117=1,1,0)</f>
        <v>0</v>
      </c>
    </row>
    <row r="118" spans="2:9" x14ac:dyDescent="0.35">
      <c r="B118" s="31" t="s">
        <v>109</v>
      </c>
      <c r="C118" s="4">
        <v>115</v>
      </c>
      <c r="D118" s="5"/>
      <c r="E118" s="18"/>
      <c r="F118" s="7"/>
      <c r="G118" s="9"/>
      <c r="H118" s="11"/>
      <c r="I118" s="13">
        <f>IF(Ответы!D118=1,1,0)</f>
        <v>0</v>
      </c>
    </row>
    <row r="119" spans="2:9" x14ac:dyDescent="0.35">
      <c r="B119" s="31" t="s">
        <v>110</v>
      </c>
      <c r="C119" s="4">
        <v>116</v>
      </c>
      <c r="D119" s="5"/>
      <c r="E119" s="18"/>
      <c r="F119" s="7"/>
      <c r="G119" s="9"/>
      <c r="H119" s="10">
        <f>IF(Ответы!D119=1,1,0)</f>
        <v>0</v>
      </c>
      <c r="I119" s="15"/>
    </row>
    <row r="120" spans="2:9" x14ac:dyDescent="0.35">
      <c r="B120" s="31" t="s">
        <v>111</v>
      </c>
      <c r="C120" s="4">
        <v>117</v>
      </c>
      <c r="D120" s="5"/>
      <c r="E120" s="18"/>
      <c r="F120" s="7"/>
      <c r="G120" s="9"/>
      <c r="H120" s="10">
        <f>IF(Ответы!D120=1,1,0)</f>
        <v>0</v>
      </c>
      <c r="I120" s="15"/>
    </row>
    <row r="121" spans="2:9" x14ac:dyDescent="0.35">
      <c r="B121" s="31" t="s">
        <v>112</v>
      </c>
      <c r="C121" s="4">
        <v>118</v>
      </c>
      <c r="D121" s="5"/>
      <c r="E121" s="18"/>
      <c r="F121" s="7"/>
      <c r="G121" s="9"/>
      <c r="H121" s="11"/>
      <c r="I121" s="13">
        <f>IF(Ответы!D121=1,1,0)</f>
        <v>0</v>
      </c>
    </row>
    <row r="122" spans="2:9" x14ac:dyDescent="0.35">
      <c r="B122" s="31" t="s">
        <v>113</v>
      </c>
      <c r="C122" s="4">
        <v>119</v>
      </c>
      <c r="D122" s="5"/>
      <c r="E122" s="18"/>
      <c r="F122" s="7"/>
      <c r="G122" s="9"/>
      <c r="H122" s="11"/>
      <c r="I122" s="13">
        <f>IF(Ответы!D122=1,1,0)</f>
        <v>0</v>
      </c>
    </row>
    <row r="123" spans="2:9" x14ac:dyDescent="0.35">
      <c r="B123" s="31" t="s">
        <v>114</v>
      </c>
      <c r="C123" s="4">
        <v>120</v>
      </c>
      <c r="D123" s="5"/>
      <c r="E123" s="18"/>
      <c r="F123" s="7"/>
      <c r="G123" s="9"/>
      <c r="H123" s="10">
        <f>IF(Ответы!D123=1,1,0)</f>
        <v>0</v>
      </c>
      <c r="I123" s="15"/>
    </row>
    <row r="124" spans="2:9" x14ac:dyDescent="0.35">
      <c r="B124" s="31" t="s">
        <v>115</v>
      </c>
      <c r="C124" s="4">
        <v>121</v>
      </c>
      <c r="D124" s="5"/>
      <c r="E124" s="18"/>
      <c r="F124" s="7"/>
      <c r="G124" s="9"/>
      <c r="H124" s="10">
        <f>IF(Ответы!D124=1,1,0)</f>
        <v>0</v>
      </c>
      <c r="I124" s="15"/>
    </row>
    <row r="125" spans="2:9" x14ac:dyDescent="0.35">
      <c r="B125" s="31" t="s">
        <v>116</v>
      </c>
      <c r="C125" s="4">
        <v>122</v>
      </c>
      <c r="D125" s="5"/>
      <c r="E125" s="18"/>
      <c r="F125" s="7"/>
      <c r="G125" s="9"/>
      <c r="H125" s="11"/>
      <c r="I125" s="13">
        <f>IF(Ответы!D125=1,1,0)</f>
        <v>0</v>
      </c>
    </row>
    <row r="126" spans="2:9" x14ac:dyDescent="0.35">
      <c r="B126" s="31" t="s">
        <v>117</v>
      </c>
      <c r="C126" s="4">
        <v>123</v>
      </c>
      <c r="D126" s="5"/>
      <c r="E126" s="18"/>
      <c r="F126" s="7"/>
      <c r="G126" s="9"/>
      <c r="H126" s="11"/>
      <c r="I126" s="13">
        <f>IF(Ответы!D126=1,1,0)</f>
        <v>0</v>
      </c>
    </row>
    <row r="127" spans="2:9" x14ac:dyDescent="0.35">
      <c r="B127" s="31" t="s">
        <v>118</v>
      </c>
      <c r="C127" s="4">
        <v>124</v>
      </c>
      <c r="D127" s="5"/>
      <c r="E127" s="18"/>
      <c r="F127" s="7"/>
      <c r="G127" s="9"/>
      <c r="H127" s="10">
        <f>IF(Ответы!D127=1,1,0)</f>
        <v>0</v>
      </c>
      <c r="I127" s="15"/>
    </row>
    <row r="128" spans="2:9" x14ac:dyDescent="0.35">
      <c r="B128" s="31" t="s">
        <v>119</v>
      </c>
      <c r="C128" s="4">
        <v>125</v>
      </c>
      <c r="D128" s="5"/>
      <c r="E128" s="18"/>
      <c r="F128" s="7"/>
      <c r="G128" s="9"/>
      <c r="H128" s="10">
        <f>IF(Ответы!D128=1,1,0)</f>
        <v>0</v>
      </c>
      <c r="I128" s="13">
        <f>IF(Ответы!D128=1,1,0)</f>
        <v>0</v>
      </c>
    </row>
    <row r="129" spans="2:9" x14ac:dyDescent="0.35">
      <c r="B129" s="31" t="s">
        <v>120</v>
      </c>
      <c r="C129" s="4">
        <v>126</v>
      </c>
      <c r="D129" s="5"/>
      <c r="E129" s="18"/>
      <c r="F129" s="7"/>
      <c r="G129" s="9"/>
      <c r="H129" s="11"/>
      <c r="I129" s="15"/>
    </row>
    <row r="130" spans="2:9" x14ac:dyDescent="0.35">
      <c r="B130" s="31" t="s">
        <v>121</v>
      </c>
      <c r="C130" s="4">
        <v>127</v>
      </c>
      <c r="D130" s="5"/>
      <c r="E130" s="18"/>
      <c r="F130" s="7"/>
      <c r="G130" s="9"/>
      <c r="H130" s="11"/>
      <c r="I130" s="13">
        <f>IF(Ответы!D130=1,1,0)</f>
        <v>0</v>
      </c>
    </row>
    <row r="131" spans="2:9" x14ac:dyDescent="0.35">
      <c r="B131" s="31" t="s">
        <v>122</v>
      </c>
      <c r="C131" s="4">
        <v>128</v>
      </c>
      <c r="D131" s="5"/>
      <c r="E131" s="18"/>
      <c r="F131" s="7"/>
      <c r="G131" s="9"/>
      <c r="H131" s="10">
        <f>IF(Ответы!D131=1,1,0)</f>
        <v>0</v>
      </c>
      <c r="I131" s="13">
        <f>IF(Ответы!D131=1,1,0)</f>
        <v>0</v>
      </c>
    </row>
    <row r="132" spans="2:9" x14ac:dyDescent="0.35">
      <c r="B132" s="31" t="s">
        <v>123</v>
      </c>
      <c r="C132" s="4">
        <v>129</v>
      </c>
      <c r="D132" s="5"/>
      <c r="E132" s="18"/>
      <c r="F132" s="7"/>
      <c r="G132" s="9"/>
      <c r="H132" s="10">
        <f>IF(Ответы!D132=1,1,0)</f>
        <v>0</v>
      </c>
      <c r="I132" s="13">
        <f>IF(Ответы!D132=1,1,0)</f>
        <v>0</v>
      </c>
    </row>
    <row r="133" spans="2:9" x14ac:dyDescent="0.35">
      <c r="B133" s="31" t="s">
        <v>124</v>
      </c>
      <c r="C133" s="4">
        <v>130</v>
      </c>
      <c r="D133" s="5"/>
      <c r="E133" s="18"/>
      <c r="F133" s="7"/>
      <c r="G133" s="9"/>
      <c r="H133" s="11"/>
      <c r="I133" s="15"/>
    </row>
    <row r="134" spans="2:9" x14ac:dyDescent="0.35">
      <c r="B134" s="31" t="s">
        <v>125</v>
      </c>
      <c r="C134" s="4">
        <v>131</v>
      </c>
      <c r="D134" s="5"/>
      <c r="E134" s="17">
        <f>IF(Ответы!D134=1,1,0)</f>
        <v>0</v>
      </c>
      <c r="F134" s="7"/>
      <c r="G134" s="9"/>
      <c r="H134" s="11"/>
      <c r="I134" s="13">
        <f>IF(Ответы!D134=1,1,0)</f>
        <v>0</v>
      </c>
    </row>
    <row r="135" spans="2:9" x14ac:dyDescent="0.35">
      <c r="B135" s="31" t="s">
        <v>126</v>
      </c>
      <c r="C135" s="4">
        <v>132</v>
      </c>
      <c r="D135" s="5"/>
      <c r="E135" s="18"/>
      <c r="F135" s="7"/>
      <c r="G135" s="9"/>
      <c r="H135" s="10">
        <f>IF(Ответы!D135=1,1,0)</f>
        <v>0</v>
      </c>
      <c r="I135" s="15"/>
    </row>
    <row r="136" spans="2:9" x14ac:dyDescent="0.35">
      <c r="B136" s="31" t="s">
        <v>127</v>
      </c>
      <c r="C136" s="4">
        <v>133</v>
      </c>
      <c r="D136" s="5"/>
      <c r="E136" s="18"/>
      <c r="F136" s="7"/>
      <c r="G136" s="9"/>
      <c r="H136" s="10">
        <f>IF(Ответы!D136=1,1,0)</f>
        <v>0</v>
      </c>
      <c r="I136" s="13">
        <f>IF(Ответы!D136=1,1,0)</f>
        <v>0</v>
      </c>
    </row>
    <row r="137" spans="2:9" x14ac:dyDescent="0.35">
      <c r="B137" s="31" t="s">
        <v>128</v>
      </c>
      <c r="C137" s="4">
        <v>134</v>
      </c>
      <c r="D137" s="5"/>
      <c r="E137" s="18"/>
      <c r="F137" s="7"/>
      <c r="G137" s="9"/>
      <c r="H137" s="11"/>
      <c r="I137" s="15"/>
    </row>
    <row r="138" spans="2:9" x14ac:dyDescent="0.35">
      <c r="B138" s="31" t="s">
        <v>129</v>
      </c>
      <c r="C138" s="4">
        <v>135</v>
      </c>
      <c r="D138" s="5"/>
      <c r="E138" s="18"/>
      <c r="F138" s="7"/>
      <c r="G138" s="9"/>
      <c r="H138" s="11"/>
      <c r="I138" s="13">
        <f>IF(Ответы!D138=1,1,0)</f>
        <v>0</v>
      </c>
    </row>
    <row r="139" spans="2:9" x14ac:dyDescent="0.35">
      <c r="B139" s="31" t="s">
        <v>130</v>
      </c>
      <c r="C139" s="4">
        <v>136</v>
      </c>
      <c r="D139" s="5"/>
      <c r="E139" s="18"/>
      <c r="F139" s="7"/>
      <c r="G139" s="9"/>
      <c r="H139" s="10">
        <f>IF(Ответы!D139=1,1,0)</f>
        <v>0</v>
      </c>
      <c r="I139" s="13">
        <f>IF(Ответы!D139=1,1,0)</f>
        <v>0</v>
      </c>
    </row>
    <row r="140" spans="2:9" x14ac:dyDescent="0.35">
      <c r="B140" s="31" t="s">
        <v>131</v>
      </c>
      <c r="C140" s="4">
        <v>137</v>
      </c>
      <c r="D140" s="5"/>
      <c r="E140" s="18"/>
      <c r="F140" s="7"/>
      <c r="G140" s="9"/>
      <c r="H140" s="10">
        <f>IF(Ответы!D140=1,1,0)</f>
        <v>0</v>
      </c>
      <c r="I140" s="13">
        <f>IF(Ответы!D140=1,1,0)</f>
        <v>0</v>
      </c>
    </row>
    <row r="141" spans="2:9" x14ac:dyDescent="0.35">
      <c r="B141" s="31" t="s">
        <v>132</v>
      </c>
      <c r="C141" s="4">
        <v>138</v>
      </c>
      <c r="D141" s="5"/>
      <c r="E141" s="18"/>
      <c r="F141" s="7"/>
      <c r="G141" s="9"/>
      <c r="H141" s="10">
        <f>IF(Ответы!D141=1,1,0)</f>
        <v>0</v>
      </c>
      <c r="I141" s="13">
        <f>IF(Ответы!D141=1,1,0)</f>
        <v>0</v>
      </c>
    </row>
    <row r="142" spans="2:9" x14ac:dyDescent="0.35">
      <c r="B142" s="31" t="s">
        <v>133</v>
      </c>
      <c r="C142" s="4">
        <v>139</v>
      </c>
      <c r="D142" s="5"/>
      <c r="E142" s="17">
        <f>IF(Ответы!D142=1,1,0)</f>
        <v>0</v>
      </c>
      <c r="F142" s="7"/>
      <c r="G142" s="9"/>
      <c r="H142" s="11"/>
      <c r="I142" s="13">
        <f>IF(Ответы!D142=1,1,0)</f>
        <v>0</v>
      </c>
    </row>
    <row r="143" spans="2:9" x14ac:dyDescent="0.35">
      <c r="B143" s="31" t="s">
        <v>134</v>
      </c>
      <c r="C143" s="4">
        <v>140</v>
      </c>
      <c r="D143" s="5"/>
      <c r="E143" s="18"/>
      <c r="F143" s="7"/>
      <c r="G143" s="9"/>
      <c r="H143" s="11"/>
      <c r="I143" s="13">
        <f>IF(Ответы!D143=1,1,0)</f>
        <v>0</v>
      </c>
    </row>
    <row r="144" spans="2:9" x14ac:dyDescent="0.35">
      <c r="B144" s="31" t="s">
        <v>135</v>
      </c>
      <c r="C144" s="4">
        <v>141</v>
      </c>
      <c r="D144" s="5"/>
      <c r="E144" s="18"/>
      <c r="F144" s="7"/>
      <c r="G144" s="9"/>
      <c r="H144" s="10">
        <f>IF(Ответы!D144=1,1,0)</f>
        <v>0</v>
      </c>
      <c r="I144" s="15"/>
    </row>
    <row r="145" spans="2:11" x14ac:dyDescent="0.35">
      <c r="B145" s="31" t="s">
        <v>136</v>
      </c>
      <c r="C145" s="4">
        <v>142</v>
      </c>
      <c r="D145" s="5"/>
      <c r="E145" s="18"/>
      <c r="F145" s="7"/>
      <c r="G145" s="9"/>
      <c r="H145" s="10">
        <f>IF(Ответы!D145=1,1,0)</f>
        <v>0</v>
      </c>
      <c r="I145" s="15"/>
    </row>
    <row r="146" spans="2:11" x14ac:dyDescent="0.35">
      <c r="B146" s="31" t="s">
        <v>137</v>
      </c>
      <c r="C146" s="4">
        <v>143</v>
      </c>
      <c r="D146" s="5"/>
      <c r="E146" s="18"/>
      <c r="F146" s="7"/>
      <c r="G146" s="9"/>
      <c r="H146" s="11"/>
      <c r="I146" s="15"/>
    </row>
    <row r="147" spans="2:11" x14ac:dyDescent="0.35">
      <c r="B147" s="31" t="s">
        <v>138</v>
      </c>
      <c r="C147" s="4">
        <v>144</v>
      </c>
      <c r="D147" s="5"/>
      <c r="E147" s="18"/>
      <c r="F147" s="7"/>
      <c r="G147" s="9"/>
      <c r="H147" s="11"/>
      <c r="I147" s="15"/>
    </row>
    <row r="148" spans="2:11" x14ac:dyDescent="0.35">
      <c r="B148" s="31" t="s">
        <v>139</v>
      </c>
      <c r="C148" s="4">
        <v>145</v>
      </c>
      <c r="D148" s="5"/>
      <c r="E148" s="18"/>
      <c r="F148" s="7"/>
      <c r="G148" s="9"/>
      <c r="H148" s="10">
        <f>IF(Ответы!D148=1,1,0)</f>
        <v>0</v>
      </c>
      <c r="I148" s="13">
        <f>IF(Ответы!D148=1,1,0)</f>
        <v>0</v>
      </c>
    </row>
    <row r="149" spans="2:11" x14ac:dyDescent="0.35">
      <c r="B149" s="31" t="s">
        <v>140</v>
      </c>
      <c r="C149" s="4">
        <v>146</v>
      </c>
      <c r="D149" s="5"/>
      <c r="E149" s="18"/>
      <c r="F149" s="7"/>
      <c r="G149" s="9"/>
      <c r="H149" s="10">
        <f>IF(Ответы!D149=1,1,0)</f>
        <v>0</v>
      </c>
      <c r="I149" s="13">
        <f>IF(Ответы!D149=1,1,0)</f>
        <v>0</v>
      </c>
    </row>
    <row r="150" spans="2:11" x14ac:dyDescent="0.35">
      <c r="B150" s="31" t="s">
        <v>141</v>
      </c>
      <c r="C150" s="4">
        <v>147</v>
      </c>
      <c r="D150" s="5"/>
      <c r="E150" s="18"/>
      <c r="F150" s="7"/>
      <c r="G150" s="9"/>
      <c r="H150" s="11"/>
      <c r="I150" s="15"/>
    </row>
    <row r="151" spans="2:11" x14ac:dyDescent="0.35">
      <c r="B151" s="31" t="s">
        <v>142</v>
      </c>
      <c r="C151" s="4">
        <v>148</v>
      </c>
      <c r="D151" s="5"/>
      <c r="E151" s="18"/>
      <c r="F151" s="7"/>
      <c r="G151" s="9"/>
      <c r="H151" s="11"/>
      <c r="I151" s="13">
        <f>IF(Ответы!D151=1,1,0)</f>
        <v>0</v>
      </c>
    </row>
    <row r="152" spans="2:11" x14ac:dyDescent="0.35">
      <c r="B152" s="31" t="s">
        <v>143</v>
      </c>
      <c r="C152" s="4">
        <v>149</v>
      </c>
      <c r="D152" s="5"/>
      <c r="E152" s="18"/>
      <c r="F152" s="7"/>
      <c r="G152" s="9"/>
      <c r="H152" s="10">
        <f>IF(Ответы!D152=1,1,0)</f>
        <v>0</v>
      </c>
      <c r="I152" s="15"/>
    </row>
    <row r="153" spans="2:11" x14ac:dyDescent="0.35">
      <c r="B153" s="31" t="s">
        <v>144</v>
      </c>
      <c r="C153" s="4">
        <v>150</v>
      </c>
      <c r="D153" s="5"/>
      <c r="E153" s="18"/>
      <c r="F153" s="7"/>
      <c r="G153" s="9"/>
      <c r="H153" s="10">
        <f>IF(Ответы!D153=1,1,0)</f>
        <v>0</v>
      </c>
      <c r="I153" s="15"/>
    </row>
    <row r="154" spans="2:11" x14ac:dyDescent="0.35">
      <c r="B154" s="31" t="s">
        <v>145</v>
      </c>
      <c r="C154" s="4">
        <v>151</v>
      </c>
      <c r="D154" s="5"/>
      <c r="E154" s="18"/>
      <c r="F154" s="7"/>
      <c r="G154" s="9"/>
      <c r="H154" s="11"/>
      <c r="I154" s="13">
        <f>IF(Ответы!D154=1,1,0)</f>
        <v>0</v>
      </c>
    </row>
    <row r="155" spans="2:11" x14ac:dyDescent="0.35">
      <c r="B155" s="31" t="s">
        <v>146</v>
      </c>
      <c r="C155" s="4">
        <v>152</v>
      </c>
      <c r="D155" s="5"/>
      <c r="E155" s="18"/>
      <c r="F155" s="7"/>
      <c r="G155" s="9"/>
      <c r="H155" s="11"/>
      <c r="I155" s="13">
        <f>IF(Ответы!D155=1,1,0)</f>
        <v>0</v>
      </c>
    </row>
    <row r="156" spans="2:11" x14ac:dyDescent="0.35">
      <c r="B156" s="31" t="s">
        <v>147</v>
      </c>
      <c r="C156" s="4">
        <v>153</v>
      </c>
      <c r="D156" s="5"/>
      <c r="E156" s="18"/>
      <c r="F156" s="7"/>
      <c r="G156" s="9"/>
      <c r="H156" s="12">
        <f>IF(Ответы!E156=1,1,0)</f>
        <v>1</v>
      </c>
      <c r="I156" s="15"/>
    </row>
    <row r="157" spans="2:11" x14ac:dyDescent="0.35">
      <c r="B157" s="31" t="s">
        <v>148</v>
      </c>
      <c r="C157" s="4">
        <v>154</v>
      </c>
      <c r="D157" s="5"/>
      <c r="E157" s="18"/>
      <c r="F157" s="7"/>
      <c r="G157" s="9"/>
      <c r="H157" s="10">
        <f>IF(Ответы!D157=1,1,0)</f>
        <v>1</v>
      </c>
      <c r="I157" s="13">
        <f>IF(Ответы!D157=1,1,0)</f>
        <v>1</v>
      </c>
    </row>
    <row r="158" spans="2:11" x14ac:dyDescent="0.35">
      <c r="B158" s="31" t="s">
        <v>149</v>
      </c>
      <c r="C158" s="4">
        <v>155</v>
      </c>
      <c r="D158" s="5"/>
      <c r="E158" s="18"/>
      <c r="F158" s="7"/>
      <c r="G158" s="9"/>
      <c r="H158" s="11"/>
      <c r="I158" s="13">
        <f>IF(Ответы!D158=1,1,0)</f>
        <v>0</v>
      </c>
    </row>
    <row r="159" spans="2:11" x14ac:dyDescent="0.35">
      <c r="B159" s="31" t="s">
        <v>150</v>
      </c>
      <c r="C159" s="4">
        <v>156</v>
      </c>
      <c r="D159" s="5"/>
      <c r="E159" s="17">
        <f>IF(Ответы!D159=1,1,0)</f>
        <v>0</v>
      </c>
      <c r="F159" s="7"/>
      <c r="G159" s="9"/>
      <c r="H159" s="11"/>
      <c r="I159" s="13">
        <f>IF(Ответы!D159=1,1,0)</f>
        <v>0</v>
      </c>
    </row>
    <row r="160" spans="2:11" x14ac:dyDescent="0.35">
      <c r="B160" s="31" t="s">
        <v>151</v>
      </c>
      <c r="C160" s="4">
        <v>157</v>
      </c>
      <c r="D160" s="5"/>
      <c r="E160" s="18"/>
      <c r="F160" s="7"/>
      <c r="G160" s="9"/>
      <c r="H160" s="12">
        <f>IF(Ответы!E160=1,1,0)</f>
        <v>0</v>
      </c>
      <c r="I160" s="15"/>
      <c r="J160" s="14"/>
      <c r="K160" s="3"/>
    </row>
    <row r="161" spans="2:11" x14ac:dyDescent="0.35">
      <c r="B161" s="31" t="s">
        <v>152</v>
      </c>
      <c r="C161" s="4">
        <v>158</v>
      </c>
      <c r="D161" s="5"/>
      <c r="E161" s="18"/>
      <c r="F161" s="7"/>
      <c r="G161" s="9"/>
      <c r="H161" s="11"/>
      <c r="I161" s="15"/>
    </row>
    <row r="162" spans="2:11" x14ac:dyDescent="0.35">
      <c r="B162" s="31" t="s">
        <v>153</v>
      </c>
      <c r="C162" s="4">
        <v>159</v>
      </c>
      <c r="D162" s="5"/>
      <c r="E162" s="17">
        <f>IF(Ответы!D162=1,1,0)</f>
        <v>0</v>
      </c>
      <c r="F162" s="7"/>
      <c r="G162" s="9"/>
      <c r="H162" s="11"/>
      <c r="I162" s="13">
        <f>IF(Ответы!D162=1,1,0)</f>
        <v>0</v>
      </c>
    </row>
    <row r="163" spans="2:11" x14ac:dyDescent="0.35">
      <c r="B163" s="31" t="s">
        <v>154</v>
      </c>
      <c r="C163" s="4">
        <v>160</v>
      </c>
      <c r="D163" s="5"/>
      <c r="E163" s="18"/>
      <c r="F163" s="7"/>
      <c r="G163" s="9"/>
      <c r="H163" s="11"/>
      <c r="I163" s="15"/>
    </row>
    <row r="164" spans="2:11" ht="15.5" x14ac:dyDescent="0.35">
      <c r="B164" s="32"/>
    </row>
    <row r="165" spans="2:11" ht="15.5" x14ac:dyDescent="0.35">
      <c r="B165" s="32"/>
      <c r="D165" s="5">
        <f>SUM(D5:D163)</f>
        <v>4</v>
      </c>
      <c r="E165" s="17">
        <f t="shared" ref="E165:I165" si="0">SUM(E4:E163)</f>
        <v>0</v>
      </c>
      <c r="F165" s="6">
        <f t="shared" si="0"/>
        <v>0</v>
      </c>
      <c r="G165" s="8">
        <f t="shared" si="0"/>
        <v>1</v>
      </c>
      <c r="H165" s="10">
        <f t="shared" si="0"/>
        <v>3</v>
      </c>
      <c r="I165" s="13">
        <f t="shared" si="0"/>
        <v>2</v>
      </c>
      <c r="J165" s="14">
        <v>1</v>
      </c>
      <c r="K165" s="3" t="s">
        <v>163</v>
      </c>
    </row>
    <row r="166" spans="2:11" ht="15.5" x14ac:dyDescent="0.35">
      <c r="B166" s="33"/>
    </row>
    <row r="167" spans="2:11" ht="15.5" x14ac:dyDescent="0.35">
      <c r="B167" s="32"/>
      <c r="C167" s="3" t="s">
        <v>185</v>
      </c>
      <c r="D167" s="22">
        <v>17</v>
      </c>
      <c r="E167" s="22">
        <v>14</v>
      </c>
      <c r="F167" s="22">
        <v>19</v>
      </c>
      <c r="G167" s="22">
        <v>30</v>
      </c>
      <c r="H167" s="22">
        <v>30</v>
      </c>
      <c r="I167" s="22">
        <v>67</v>
      </c>
      <c r="J167" s="22"/>
      <c r="K167" s="22"/>
    </row>
    <row r="168" spans="2:11" ht="15.5" x14ac:dyDescent="0.35">
      <c r="B168" s="33"/>
    </row>
    <row r="169" spans="2:11" ht="15.5" x14ac:dyDescent="0.35">
      <c r="B169" s="33"/>
    </row>
    <row r="170" spans="2:11" ht="15.5" x14ac:dyDescent="0.35">
      <c r="B170" s="33"/>
    </row>
    <row r="171" spans="2:11" ht="15.5" x14ac:dyDescent="0.35">
      <c r="B171" s="32"/>
    </row>
    <row r="172" spans="2:11" ht="15.5" x14ac:dyDescent="0.35">
      <c r="B172" s="33"/>
    </row>
    <row r="173" spans="2:11" ht="15.5" x14ac:dyDescent="0.35">
      <c r="B173" s="33"/>
    </row>
    <row r="174" spans="2:11" ht="15.5" x14ac:dyDescent="0.35">
      <c r="B174" s="33"/>
    </row>
    <row r="175" spans="2:11" ht="15.5" x14ac:dyDescent="0.35">
      <c r="B175" s="33"/>
    </row>
    <row r="176" spans="2:11" ht="15.5" x14ac:dyDescent="0.35">
      <c r="B176" s="33"/>
    </row>
    <row r="177" spans="2:2" ht="15.5" x14ac:dyDescent="0.35">
      <c r="B177" s="33"/>
    </row>
    <row r="178" spans="2:2" ht="15.5" x14ac:dyDescent="0.35">
      <c r="B178" s="33"/>
    </row>
    <row r="179" spans="2:2" ht="15.5" x14ac:dyDescent="0.35">
      <c r="B179" s="32"/>
    </row>
    <row r="180" spans="2:2" ht="15.5" x14ac:dyDescent="0.35">
      <c r="B180" s="32"/>
    </row>
    <row r="181" spans="2:2" ht="15.5" x14ac:dyDescent="0.35">
      <c r="B181" s="32"/>
    </row>
    <row r="182" spans="2:2" ht="15.5" x14ac:dyDescent="0.35">
      <c r="B182" s="32"/>
    </row>
    <row r="183" spans="2:2" ht="15.5" x14ac:dyDescent="0.35">
      <c r="B183" s="32"/>
    </row>
    <row r="185" spans="2:2" ht="15.5" x14ac:dyDescent="0.35">
      <c r="B185" s="33"/>
    </row>
    <row r="186" spans="2:2" ht="15.5" x14ac:dyDescent="0.35">
      <c r="B186" s="33"/>
    </row>
    <row r="187" spans="2:2" ht="15.5" x14ac:dyDescent="0.35">
      <c r="B187" s="33"/>
    </row>
    <row r="188" spans="2:2" ht="15.5" x14ac:dyDescent="0.35">
      <c r="B188" s="33"/>
    </row>
    <row r="189" spans="2:2" ht="15.5" x14ac:dyDescent="0.35">
      <c r="B189" s="32"/>
    </row>
    <row r="190" spans="2:2" ht="15.5" x14ac:dyDescent="0.35">
      <c r="B190" s="33"/>
    </row>
    <row r="191" spans="2:2" ht="15.5" x14ac:dyDescent="0.35">
      <c r="B191" s="33"/>
    </row>
    <row r="192" spans="2:2" ht="15.5" x14ac:dyDescent="0.35">
      <c r="B192" s="32"/>
    </row>
    <row r="193" spans="2:2" ht="15.5" x14ac:dyDescent="0.35">
      <c r="B193" s="32"/>
    </row>
    <row r="194" spans="2:2" ht="15.5" x14ac:dyDescent="0.35">
      <c r="B194" s="32"/>
    </row>
    <row r="195" spans="2:2" ht="15.5" x14ac:dyDescent="0.35">
      <c r="B195" s="33"/>
    </row>
    <row r="196" spans="2:2" ht="15.5" x14ac:dyDescent="0.35">
      <c r="B196" s="32"/>
    </row>
    <row r="197" spans="2:2" ht="15.5" x14ac:dyDescent="0.35">
      <c r="B197" s="33"/>
    </row>
    <row r="198" spans="2:2" ht="15.5" x14ac:dyDescent="0.35">
      <c r="B198" s="32"/>
    </row>
    <row r="199" spans="2:2" ht="15.5" x14ac:dyDescent="0.35">
      <c r="B199" s="33"/>
    </row>
    <row r="200" spans="2:2" ht="15.5" x14ac:dyDescent="0.35">
      <c r="B200" s="32"/>
    </row>
    <row r="201" spans="2:2" ht="15.5" x14ac:dyDescent="0.35">
      <c r="B201" s="32"/>
    </row>
    <row r="202" spans="2:2" ht="15.5" x14ac:dyDescent="0.35">
      <c r="B202" s="32"/>
    </row>
    <row r="203" spans="2:2" ht="15.5" x14ac:dyDescent="0.35">
      <c r="B203" s="33"/>
    </row>
    <row r="204" spans="2:2" ht="15.5" x14ac:dyDescent="0.35">
      <c r="B204" s="32"/>
    </row>
    <row r="205" spans="2:2" ht="15.5" x14ac:dyDescent="0.35">
      <c r="B205" s="32"/>
    </row>
    <row r="206" spans="2:2" ht="15.5" x14ac:dyDescent="0.35">
      <c r="B206" s="33"/>
    </row>
    <row r="207" spans="2:2" ht="15.5" x14ac:dyDescent="0.35">
      <c r="B207" s="33"/>
    </row>
    <row r="208" spans="2:2" ht="15.5" x14ac:dyDescent="0.35">
      <c r="B208" s="33"/>
    </row>
    <row r="209" spans="2:2" ht="15.5" x14ac:dyDescent="0.35">
      <c r="B209" s="32"/>
    </row>
    <row r="210" spans="2:2" ht="15.5" x14ac:dyDescent="0.35">
      <c r="B210" s="32"/>
    </row>
    <row r="211" spans="2:2" ht="15.5" x14ac:dyDescent="0.35">
      <c r="B211" s="33"/>
    </row>
    <row r="212" spans="2:2" ht="15.5" x14ac:dyDescent="0.35">
      <c r="B212" s="33"/>
    </row>
    <row r="213" spans="2:2" ht="15.5" x14ac:dyDescent="0.35">
      <c r="B213" s="33"/>
    </row>
    <row r="214" spans="2:2" ht="15.5" x14ac:dyDescent="0.35">
      <c r="B214" s="32"/>
    </row>
    <row r="215" spans="2:2" ht="15.5" x14ac:dyDescent="0.35">
      <c r="B215" s="33"/>
    </row>
    <row r="216" spans="2:2" ht="15.5" x14ac:dyDescent="0.35">
      <c r="B216" s="33"/>
    </row>
    <row r="217" spans="2:2" ht="15.5" x14ac:dyDescent="0.35">
      <c r="B217" s="33"/>
    </row>
    <row r="218" spans="2:2" ht="15.5" x14ac:dyDescent="0.35">
      <c r="B218" s="33"/>
    </row>
    <row r="219" spans="2:2" ht="15.5" x14ac:dyDescent="0.35">
      <c r="B219" s="32"/>
    </row>
    <row r="220" spans="2:2" ht="15.5" x14ac:dyDescent="0.35">
      <c r="B220" s="33"/>
    </row>
    <row r="221" spans="2:2" ht="15.5" x14ac:dyDescent="0.35">
      <c r="B221" s="33"/>
    </row>
    <row r="222" spans="2:2" ht="15.5" x14ac:dyDescent="0.35">
      <c r="B222" s="33"/>
    </row>
    <row r="223" spans="2:2" ht="15.5" x14ac:dyDescent="0.35">
      <c r="B223" s="33"/>
    </row>
    <row r="224" spans="2:2" ht="15.5" x14ac:dyDescent="0.35">
      <c r="B224" s="33"/>
    </row>
  </sheetData>
  <sortState xmlns:xlrd2="http://schemas.microsoft.com/office/spreadsheetml/2017/richdata2" ref="B103:B224">
    <sortCondition ref="B103:B224"/>
  </sortState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57"/>
  <sheetViews>
    <sheetView topLeftCell="A15" workbookViewId="0">
      <selection activeCell="F12" sqref="F12"/>
    </sheetView>
  </sheetViews>
  <sheetFormatPr defaultRowHeight="14.5" x14ac:dyDescent="0.35"/>
  <cols>
    <col min="3" max="3" width="9.54296875" customWidth="1"/>
    <col min="4" max="4" width="32.54296875" customWidth="1"/>
    <col min="5" max="5" width="15.1796875" customWidth="1"/>
    <col min="6" max="6" width="68.81640625" customWidth="1"/>
    <col min="8" max="9" width="6.7265625" customWidth="1"/>
    <col min="10" max="10" width="23.26953125" style="3" customWidth="1"/>
    <col min="11" max="11" width="6.453125" style="3" customWidth="1"/>
    <col min="12" max="17" width="5.453125" style="3" customWidth="1"/>
  </cols>
  <sheetData>
    <row r="2" spans="1:17" x14ac:dyDescent="0.35">
      <c r="A2" s="51" t="s">
        <v>233</v>
      </c>
    </row>
    <row r="3" spans="1:17" x14ac:dyDescent="0.35">
      <c r="A3" s="51" t="s">
        <v>234</v>
      </c>
    </row>
    <row r="4" spans="1:17" x14ac:dyDescent="0.35">
      <c r="A4" s="51" t="s">
        <v>239</v>
      </c>
    </row>
    <row r="5" spans="1:17" x14ac:dyDescent="0.35">
      <c r="A5" s="51" t="s">
        <v>235</v>
      </c>
    </row>
    <row r="6" spans="1:17" x14ac:dyDescent="0.35">
      <c r="A6" s="51" t="s">
        <v>236</v>
      </c>
    </row>
    <row r="7" spans="1:17" x14ac:dyDescent="0.35">
      <c r="A7" s="51" t="s">
        <v>237</v>
      </c>
    </row>
    <row r="8" spans="1:17" x14ac:dyDescent="0.35">
      <c r="A8" s="51" t="s">
        <v>238</v>
      </c>
    </row>
    <row r="10" spans="1:17" x14ac:dyDescent="0.35">
      <c r="A10" s="20"/>
    </row>
    <row r="11" spans="1:17" ht="21" x14ac:dyDescent="0.5">
      <c r="A11" s="20"/>
      <c r="D11" s="53" t="s">
        <v>240</v>
      </c>
    </row>
    <row r="12" spans="1:17" x14ac:dyDescent="0.35">
      <c r="A12" s="20"/>
    </row>
    <row r="13" spans="1:17" x14ac:dyDescent="0.35">
      <c r="A13" s="20"/>
      <c r="D13" s="21" t="s">
        <v>186</v>
      </c>
    </row>
    <row r="14" spans="1:17" x14ac:dyDescent="0.35">
      <c r="A14" s="20"/>
      <c r="D14" s="25" t="s">
        <v>183</v>
      </c>
      <c r="E14" s="42" t="str">
        <f>Ответы!D2</f>
        <v>1234567890</v>
      </c>
    </row>
    <row r="15" spans="1:17" x14ac:dyDescent="0.35">
      <c r="A15" s="20"/>
      <c r="D15" s="25" t="s">
        <v>187</v>
      </c>
      <c r="E15" s="25"/>
    </row>
    <row r="16" spans="1:17" x14ac:dyDescent="0.35">
      <c r="A16" s="20"/>
      <c r="C16" s="23"/>
      <c r="D16" s="25" t="s">
        <v>168</v>
      </c>
      <c r="E16" s="25"/>
      <c r="J16" s="25"/>
      <c r="K16" s="25"/>
      <c r="L16" s="25"/>
      <c r="M16" s="25"/>
      <c r="N16" s="25"/>
      <c r="O16" s="25"/>
      <c r="P16" s="25"/>
      <c r="Q16" s="25"/>
    </row>
    <row r="17" spans="1:18" x14ac:dyDescent="0.35">
      <c r="A17" s="20"/>
      <c r="C17" s="23"/>
      <c r="D17" s="25"/>
      <c r="E17" s="25"/>
      <c r="J17" s="25"/>
      <c r="K17" s="25"/>
      <c r="L17" s="25"/>
      <c r="M17" s="25"/>
      <c r="N17" s="25"/>
      <c r="O17" s="25"/>
      <c r="P17" s="25"/>
      <c r="Q17" s="25"/>
    </row>
    <row r="18" spans="1:18" ht="15.5" x14ac:dyDescent="0.35">
      <c r="D18" s="47" t="s">
        <v>217</v>
      </c>
      <c r="E18" s="46" t="s">
        <v>189</v>
      </c>
      <c r="F18" s="50" t="s">
        <v>232</v>
      </c>
      <c r="G18" s="24"/>
      <c r="H18" s="25">
        <v>0</v>
      </c>
      <c r="I18" s="25"/>
      <c r="J18" s="45" t="s">
        <v>193</v>
      </c>
      <c r="K18" s="46" t="s">
        <v>189</v>
      </c>
      <c r="L18" s="25"/>
      <c r="M18" s="25"/>
      <c r="N18" s="25"/>
      <c r="O18" s="25"/>
    </row>
    <row r="19" spans="1:18" ht="15.5" x14ac:dyDescent="0.35">
      <c r="D19" s="47" t="s">
        <v>218</v>
      </c>
      <c r="E19" s="42" t="s">
        <v>231</v>
      </c>
      <c r="G19" s="24"/>
      <c r="H19" s="25"/>
      <c r="I19" s="25"/>
      <c r="J19" s="45"/>
      <c r="K19" s="46"/>
      <c r="L19" s="25"/>
      <c r="M19" s="25"/>
      <c r="N19" s="25"/>
      <c r="O19" s="25"/>
    </row>
    <row r="20" spans="1:18" ht="15.5" x14ac:dyDescent="0.35">
      <c r="D20" s="47" t="s">
        <v>220</v>
      </c>
      <c r="E20" s="42" t="s">
        <v>231</v>
      </c>
      <c r="G20" s="24"/>
      <c r="H20" s="25"/>
      <c r="I20" s="25"/>
      <c r="J20" s="45"/>
      <c r="K20" s="46"/>
      <c r="L20" s="25"/>
      <c r="M20" s="25"/>
      <c r="N20" s="25"/>
      <c r="O20" s="25"/>
    </row>
    <row r="21" spans="1:18" ht="15.5" x14ac:dyDescent="0.35">
      <c r="D21" s="47" t="s">
        <v>222</v>
      </c>
      <c r="E21" s="42" t="s">
        <v>231</v>
      </c>
      <c r="G21" s="24"/>
      <c r="H21" s="25"/>
      <c r="I21" s="25"/>
      <c r="J21" s="45"/>
      <c r="K21" s="46"/>
      <c r="L21" s="25"/>
      <c r="M21" s="25"/>
      <c r="N21" s="25"/>
      <c r="O21" s="25"/>
    </row>
    <row r="22" spans="1:18" ht="15.5" x14ac:dyDescent="0.35">
      <c r="D22" s="47" t="s">
        <v>243</v>
      </c>
      <c r="E22" s="42" t="s">
        <v>231</v>
      </c>
      <c r="G22" s="24"/>
      <c r="H22" s="25"/>
      <c r="I22" s="25"/>
      <c r="J22" s="45"/>
      <c r="K22" s="46"/>
      <c r="L22" s="25"/>
      <c r="M22" s="25"/>
      <c r="N22" s="25"/>
      <c r="O22" s="25"/>
    </row>
    <row r="23" spans="1:18" ht="15.5" x14ac:dyDescent="0.35">
      <c r="D23" s="47" t="s">
        <v>227</v>
      </c>
      <c r="E23" s="42" t="s">
        <v>231</v>
      </c>
      <c r="G23" s="24"/>
      <c r="H23" s="25"/>
      <c r="I23" s="25"/>
      <c r="J23" s="45"/>
      <c r="K23" s="46"/>
      <c r="L23" s="25"/>
      <c r="M23" s="25"/>
      <c r="N23" s="25"/>
      <c r="O23" s="25"/>
    </row>
    <row r="24" spans="1:18" ht="15.5" x14ac:dyDescent="0.35">
      <c r="D24" s="47"/>
      <c r="G24" s="24"/>
      <c r="H24" s="25"/>
      <c r="I24" s="25"/>
      <c r="J24" s="45"/>
      <c r="K24" s="46"/>
      <c r="L24" s="25"/>
      <c r="M24" s="25"/>
      <c r="N24" s="25"/>
      <c r="O24" s="25"/>
    </row>
    <row r="25" spans="1:18" ht="15.5" x14ac:dyDescent="0.35">
      <c r="D25" s="21" t="s">
        <v>230</v>
      </c>
      <c r="G25" s="24"/>
      <c r="H25" s="25"/>
      <c r="I25" s="25"/>
      <c r="J25" s="45"/>
      <c r="K25" s="46"/>
      <c r="L25" s="25"/>
      <c r="M25" s="25"/>
      <c r="N25" s="25"/>
      <c r="O25" s="25"/>
    </row>
    <row r="26" spans="1:18" ht="15.5" x14ac:dyDescent="0.35">
      <c r="G26" s="24"/>
      <c r="H26" s="25"/>
      <c r="I26" s="25"/>
      <c r="J26" s="45"/>
      <c r="K26" s="46"/>
      <c r="L26" s="25"/>
      <c r="M26" s="25"/>
      <c r="N26" s="25"/>
      <c r="O26" s="25"/>
    </row>
    <row r="27" spans="1:18" x14ac:dyDescent="0.35">
      <c r="C27" s="5" t="s">
        <v>156</v>
      </c>
      <c r="D27" s="47" t="s">
        <v>217</v>
      </c>
      <c r="E27" s="21" t="str">
        <f>CONCATENATE(LEFT(Шкала!D165,2)," из 15")</f>
        <v>4 из 15</v>
      </c>
      <c r="F27" s="50" t="s">
        <v>232</v>
      </c>
      <c r="G27" s="25" t="s">
        <v>194</v>
      </c>
      <c r="H27" s="25">
        <v>1</v>
      </c>
      <c r="I27" s="25"/>
      <c r="J27" s="25" t="s">
        <v>195</v>
      </c>
      <c r="K27" s="25"/>
      <c r="L27" s="25"/>
      <c r="M27" s="25"/>
      <c r="N27" s="25"/>
      <c r="O27" s="25"/>
      <c r="P27"/>
      <c r="Q27"/>
    </row>
    <row r="28" spans="1:18" x14ac:dyDescent="0.35">
      <c r="C28" s="17" t="s">
        <v>155</v>
      </c>
      <c r="D28" s="47" t="s">
        <v>218</v>
      </c>
      <c r="E28" s="21" t="str">
        <f>CONCATENATE(LEFT(Шкала!E165,2)," из 14")</f>
        <v>0 из 14</v>
      </c>
      <c r="F28" s="44"/>
      <c r="G28" s="45" t="s">
        <v>191</v>
      </c>
      <c r="H28" s="45" t="s">
        <v>197</v>
      </c>
      <c r="I28" s="45"/>
      <c r="J28" s="47" t="s">
        <v>192</v>
      </c>
      <c r="K28" s="25"/>
      <c r="L28" s="45" t="s">
        <v>244</v>
      </c>
      <c r="M28" s="48" t="s">
        <v>196</v>
      </c>
      <c r="N28" s="25"/>
      <c r="O28" s="25"/>
    </row>
    <row r="29" spans="1:18" x14ac:dyDescent="0.35">
      <c r="C29" s="13" t="s">
        <v>162</v>
      </c>
      <c r="D29" s="47" t="s">
        <v>220</v>
      </c>
      <c r="E29" s="21" t="str">
        <f>CONCATENATE(LEFT(Шкала!I165,2)," из 67")</f>
        <v>2 из 67</v>
      </c>
      <c r="F29" s="44"/>
      <c r="G29" s="45" t="s">
        <v>200</v>
      </c>
      <c r="H29" s="45" t="s">
        <v>198</v>
      </c>
      <c r="I29" s="45"/>
      <c r="J29" s="47" t="s">
        <v>192</v>
      </c>
      <c r="K29" s="24"/>
      <c r="L29" s="45" t="s">
        <v>199</v>
      </c>
      <c r="M29" s="48" t="s">
        <v>196</v>
      </c>
      <c r="N29" s="24"/>
      <c r="O29" s="24"/>
      <c r="P29"/>
      <c r="Q29"/>
    </row>
    <row r="30" spans="1:18" x14ac:dyDescent="0.35">
      <c r="C30" s="10" t="s">
        <v>159</v>
      </c>
      <c r="D30" s="47" t="s">
        <v>222</v>
      </c>
      <c r="E30" s="21" t="str">
        <f>CONCATENATE(LEFT(Шкала!H165,2)," из 30")</f>
        <v>3 из 30</v>
      </c>
      <c r="F30" s="44"/>
      <c r="G30" s="45"/>
      <c r="H30" s="45" t="s">
        <v>202</v>
      </c>
      <c r="I30" s="45"/>
      <c r="J30" s="25"/>
      <c r="K30" s="25"/>
      <c r="L30" s="45" t="s">
        <v>201</v>
      </c>
      <c r="M30" s="48" t="s">
        <v>196</v>
      </c>
      <c r="N30" s="25"/>
      <c r="O30" s="25"/>
    </row>
    <row r="31" spans="1:18" ht="15.5" x14ac:dyDescent="0.35">
      <c r="C31" s="8" t="s">
        <v>158</v>
      </c>
      <c r="D31" s="47" t="s">
        <v>243</v>
      </c>
      <c r="E31" s="21" t="str">
        <f>CONCATENATE(LEFT(Шкала!G165,2)," из 30")</f>
        <v>1 из 30</v>
      </c>
      <c r="F31" s="44"/>
      <c r="G31" s="45" t="s">
        <v>203</v>
      </c>
      <c r="H31" s="45" t="s">
        <v>205</v>
      </c>
      <c r="I31" s="45"/>
      <c r="J31" s="47" t="s">
        <v>192</v>
      </c>
      <c r="K31" s="25"/>
      <c r="L31" s="45"/>
      <c r="M31" s="48"/>
      <c r="N31" s="25"/>
      <c r="O31" s="25"/>
      <c r="R31" s="29"/>
    </row>
    <row r="32" spans="1:18" ht="15.5" x14ac:dyDescent="0.35">
      <c r="C32" s="6" t="s">
        <v>157</v>
      </c>
      <c r="D32" s="47" t="s">
        <v>227</v>
      </c>
      <c r="E32" s="21" t="str">
        <f>CONCATENATE(LEFT(Шкала!F165,2)," из 19")</f>
        <v>0 из 19</v>
      </c>
      <c r="F32" s="44"/>
      <c r="G32" s="45" t="s">
        <v>204</v>
      </c>
      <c r="H32" s="45" t="s">
        <v>206</v>
      </c>
      <c r="I32" s="45"/>
      <c r="J32" s="47" t="s">
        <v>192</v>
      </c>
      <c r="K32" s="49"/>
      <c r="L32" s="24"/>
      <c r="M32" s="48"/>
      <c r="N32" s="24"/>
      <c r="O32" s="24"/>
      <c r="P32"/>
      <c r="Q32"/>
    </row>
    <row r="33" spans="3:17" ht="15.5" x14ac:dyDescent="0.35">
      <c r="C33" s="3"/>
      <c r="D33" s="47"/>
      <c r="E33" s="21"/>
      <c r="F33" s="44"/>
      <c r="G33" s="45"/>
      <c r="H33" s="45"/>
      <c r="I33" s="45"/>
      <c r="J33" s="47"/>
      <c r="K33" s="49"/>
      <c r="L33" s="24"/>
      <c r="M33" s="48"/>
      <c r="N33" s="24"/>
      <c r="O33" s="24"/>
      <c r="P33"/>
      <c r="Q33"/>
    </row>
    <row r="34" spans="3:17" ht="15.75" customHeight="1" x14ac:dyDescent="0.35">
      <c r="D34" s="21"/>
      <c r="H34" s="45" t="s">
        <v>242</v>
      </c>
      <c r="I34" s="45"/>
      <c r="M34" s="43"/>
    </row>
    <row r="35" spans="3:17" ht="15.5" x14ac:dyDescent="0.35">
      <c r="D35" s="21" t="s">
        <v>188</v>
      </c>
      <c r="F35" s="24" t="s">
        <v>241</v>
      </c>
      <c r="H35" s="25" t="s">
        <v>207</v>
      </c>
      <c r="I35" s="52" t="s">
        <v>164</v>
      </c>
      <c r="J35" s="45" t="s">
        <v>193</v>
      </c>
      <c r="K35" s="46" t="s">
        <v>209</v>
      </c>
      <c r="L35" s="25"/>
      <c r="M35" s="25"/>
    </row>
    <row r="36" spans="3:17" x14ac:dyDescent="0.35">
      <c r="H36" s="45" t="s">
        <v>208</v>
      </c>
      <c r="I36" s="52" t="s">
        <v>190</v>
      </c>
      <c r="J36" s="45" t="s">
        <v>193</v>
      </c>
      <c r="K36" s="48" t="s">
        <v>196</v>
      </c>
      <c r="N36" s="25"/>
      <c r="O36" s="25"/>
    </row>
    <row r="37" spans="3:17" x14ac:dyDescent="0.35">
      <c r="H37" s="45" t="s">
        <v>210</v>
      </c>
      <c r="I37" s="52" t="s">
        <v>165</v>
      </c>
      <c r="J37" s="45" t="s">
        <v>199</v>
      </c>
      <c r="K37" s="48" t="s">
        <v>196</v>
      </c>
      <c r="L37" s="24"/>
      <c r="M37" s="24"/>
    </row>
    <row r="38" spans="3:17" x14ac:dyDescent="0.35">
      <c r="H38" s="45" t="s">
        <v>211</v>
      </c>
      <c r="I38" s="52" t="s">
        <v>166</v>
      </c>
      <c r="J38" s="45" t="s">
        <v>201</v>
      </c>
      <c r="K38" s="48" t="s">
        <v>196</v>
      </c>
    </row>
    <row r="39" spans="3:17" x14ac:dyDescent="0.35">
      <c r="G39" s="21"/>
      <c r="H39" s="45" t="s">
        <v>212</v>
      </c>
      <c r="I39" s="45"/>
      <c r="J39" s="21" t="s">
        <v>195</v>
      </c>
    </row>
    <row r="40" spans="3:17" x14ac:dyDescent="0.35">
      <c r="G40" s="21"/>
      <c r="H40" s="45" t="s">
        <v>213</v>
      </c>
      <c r="I40" s="45"/>
      <c r="J40" s="47" t="s">
        <v>192</v>
      </c>
      <c r="K40" s="47"/>
    </row>
    <row r="42" spans="3:17" ht="21" x14ac:dyDescent="0.5">
      <c r="D42" s="53" t="s">
        <v>225</v>
      </c>
    </row>
    <row r="45" spans="3:17" x14ac:dyDescent="0.35">
      <c r="D45" s="21" t="s">
        <v>215</v>
      </c>
    </row>
    <row r="46" spans="3:17" x14ac:dyDescent="0.35">
      <c r="D46" s="25" t="s">
        <v>216</v>
      </c>
      <c r="E46" s="42" t="s">
        <v>184</v>
      </c>
    </row>
    <row r="47" spans="3:17" x14ac:dyDescent="0.35">
      <c r="D47" s="25" t="s">
        <v>167</v>
      </c>
      <c r="E47" s="25"/>
    </row>
    <row r="48" spans="3:17" x14ac:dyDescent="0.35">
      <c r="D48" s="25" t="s">
        <v>168</v>
      </c>
      <c r="E48" s="25"/>
    </row>
    <row r="49" spans="4:6" x14ac:dyDescent="0.35">
      <c r="D49" s="25"/>
      <c r="E49" s="25"/>
    </row>
    <row r="50" spans="4:6" x14ac:dyDescent="0.35">
      <c r="D50" s="47" t="s">
        <v>217</v>
      </c>
      <c r="E50" s="21"/>
      <c r="F50" s="24" t="s">
        <v>214</v>
      </c>
    </row>
    <row r="51" spans="4:6" x14ac:dyDescent="0.35">
      <c r="D51" s="47" t="s">
        <v>218</v>
      </c>
      <c r="E51" s="21"/>
      <c r="F51" s="24" t="s">
        <v>219</v>
      </c>
    </row>
    <row r="52" spans="4:6" x14ac:dyDescent="0.35">
      <c r="D52" s="47" t="s">
        <v>220</v>
      </c>
      <c r="E52" s="21"/>
      <c r="F52" s="24" t="s">
        <v>221</v>
      </c>
    </row>
    <row r="53" spans="4:6" x14ac:dyDescent="0.35">
      <c r="D53" s="47" t="s">
        <v>222</v>
      </c>
      <c r="E53" s="21"/>
      <c r="F53" s="24" t="s">
        <v>223</v>
      </c>
    </row>
    <row r="54" spans="4:6" x14ac:dyDescent="0.35">
      <c r="D54" s="47" t="s">
        <v>224</v>
      </c>
      <c r="E54" s="21"/>
      <c r="F54" s="24" t="s">
        <v>226</v>
      </c>
    </row>
    <row r="55" spans="4:6" x14ac:dyDescent="0.35">
      <c r="D55" s="47" t="s">
        <v>227</v>
      </c>
      <c r="E55" s="21"/>
      <c r="F55" s="24" t="s">
        <v>228</v>
      </c>
    </row>
    <row r="56" spans="4:6" x14ac:dyDescent="0.35">
      <c r="D56" s="21"/>
    </row>
    <row r="57" spans="4:6" x14ac:dyDescent="0.35">
      <c r="D57" s="47" t="s">
        <v>229</v>
      </c>
      <c r="F57" s="24" t="s">
        <v>241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Ответы</vt:lpstr>
      <vt:lpstr>Шкала</vt:lpstr>
      <vt:lpstr>Резюме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Бауржан Муканов (ТТК)</cp:lastModifiedBy>
  <dcterms:created xsi:type="dcterms:W3CDTF">2024-04-02T04:52:40Z</dcterms:created>
  <dcterms:modified xsi:type="dcterms:W3CDTF">2026-01-31T16:58:36Z</dcterms:modified>
</cp:coreProperties>
</file>